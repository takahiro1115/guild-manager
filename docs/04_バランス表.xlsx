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 Documents\GuildManager\docs\"/>
    </mc:Choice>
  </mc:AlternateContent>
  <xr:revisionPtr revIDLastSave="0" documentId="11_DE21A23376D49A7335E73EE9B86086C1E1E05BA2" xr6:coauthVersionLast="47" xr6:coauthVersionMax="47" xr10:uidLastSave="{00000000-0000-0000-0000-000000000000}"/>
  <bookViews>
    <workbookView xWindow="690" yWindow="885" windowWidth="21360" windowHeight="14460" tabRatio="500" xr2:uid="{00000000-000D-0000-FFFF-FFFF00000000}"/>
  </bookViews>
  <sheets>
    <sheet name="はじめに" sheetId="1" r:id="rId1"/>
    <sheet name="経済" sheetId="2" r:id="rId2"/>
    <sheet name="クエスト" sheetId="3" r:id="rId3"/>
    <sheet name="戦闘" sheetId="4" r:id="rId4"/>
    <sheet name="加齢" sheetId="5" r:id="rId5"/>
    <sheet name="満足度" sheetId="6" r:id="rId6"/>
    <sheet name="施設" sheetId="7" r:id="rId7"/>
    <sheet name="格付け" sheetId="8" r:id="rId8"/>
    <sheet name="疲労_相性_顧問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9" i="3" l="1"/>
  <c r="K8" i="3"/>
  <c r="K7" i="3"/>
  <c r="K6" i="3"/>
  <c r="K5" i="3"/>
  <c r="K4" i="3"/>
</calcChain>
</file>

<file path=xl/sharedStrings.xml><?xml version="1.0" encoding="utf-8"?>
<sst xmlns="http://schemas.openxmlformats.org/spreadsheetml/2006/main" count="297" uniqueCount="241">
  <si>
    <r>
      <rPr>
        <b/>
        <sz val="14"/>
        <color rgb="FFFFFFFF"/>
        <rFont val="Noto Sans CJK SC"/>
        <family val="2"/>
      </rPr>
      <t xml:space="preserve">冒険者ギルドマネージャー ― バランス表 </t>
    </r>
    <r>
      <rPr>
        <b/>
        <sz val="14"/>
        <color rgb="FFFFFFFF"/>
        <rFont val="Arial"/>
        <family val="2"/>
      </rPr>
      <t>(04)</t>
    </r>
  </si>
  <si>
    <t>使い方</t>
  </si>
  <si>
    <r>
      <rPr>
        <sz val="10"/>
        <color rgb="FF000000"/>
        <rFont val="Noto Sans CJK SC"/>
        <family val="2"/>
      </rPr>
      <t xml:space="preserve">システム仕様 </t>
    </r>
    <r>
      <rPr>
        <sz val="10"/>
        <color rgb="FF000000"/>
        <rFont val="Arial"/>
        <family val="2"/>
      </rPr>
      <t xml:space="preserve">v1.1 (03) </t>
    </r>
    <r>
      <rPr>
        <sz val="10"/>
        <color rgb="FF000000"/>
        <rFont val="Noto Sans CJK SC"/>
        <family val="2"/>
      </rPr>
      <t xml:space="preserve">の『→ </t>
    </r>
    <r>
      <rPr>
        <sz val="10"/>
        <color rgb="FF000000"/>
        <rFont val="Arial"/>
        <family val="2"/>
      </rPr>
      <t xml:space="preserve">BAL: </t>
    </r>
    <r>
      <rPr>
        <sz val="10"/>
        <color rgb="FF000000"/>
        <rFont val="Noto Sans CJK SC"/>
        <family val="2"/>
      </rPr>
      <t>シート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項目』が指す数値をここで管理する。</t>
    </r>
  </si>
  <si>
    <r>
      <rPr>
        <sz val="10"/>
        <color rgb="FF000000"/>
        <rFont val="Noto Sans CJK SC"/>
        <family val="2"/>
      </rPr>
      <t xml:space="preserve">実装ではこの表を </t>
    </r>
    <r>
      <rPr>
        <sz val="10"/>
        <color rgb="FF000000"/>
        <rFont val="Arial"/>
        <family val="2"/>
      </rPr>
      <t xml:space="preserve">CSV/JSON </t>
    </r>
    <r>
      <rPr>
        <sz val="10"/>
        <color rgb="FF000000"/>
        <rFont val="Noto Sans CJK SC"/>
        <family val="2"/>
      </rPr>
      <t>に書き出し、</t>
    </r>
    <r>
      <rPr>
        <sz val="10"/>
        <color rgb="FF000000"/>
        <rFont val="Arial"/>
        <family val="2"/>
      </rPr>
      <t xml:space="preserve">C#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2"/>
      </rPr>
      <t xml:space="preserve">Core </t>
    </r>
    <r>
      <rPr>
        <sz val="10"/>
        <color rgb="FF000000"/>
        <rFont val="Noto Sans CJK SC"/>
        <family val="2"/>
      </rPr>
      <t>側で読み込む</t>
    </r>
    <r>
      <rPr>
        <sz val="10"/>
        <color rgb="FF000000"/>
        <rFont val="Arial"/>
        <family val="2"/>
      </rPr>
      <t xml:space="preserve">(→ 05 </t>
    </r>
    <r>
      <rPr>
        <sz val="10"/>
        <color rgb="FF000000"/>
        <rFont val="Noto Sans CJK SC"/>
        <family val="2"/>
      </rPr>
      <t xml:space="preserve">技術メモ </t>
    </r>
    <r>
      <rPr>
        <sz val="10"/>
        <color rgb="FF000000"/>
        <rFont val="Arial"/>
        <family val="2"/>
      </rPr>
      <t>§3)</t>
    </r>
    <r>
      <rPr>
        <sz val="10"/>
        <color rgb="FF000000"/>
        <rFont val="Noto Sans CJK SC"/>
        <family val="2"/>
      </rPr>
      <t>。</t>
    </r>
  </si>
  <si>
    <t>凡例</t>
  </si>
  <si>
    <r>
      <rPr>
        <sz val="10"/>
        <color rgb="FF000000"/>
        <rFont val="Noto Sans CJK SC"/>
        <family val="2"/>
      </rPr>
      <t xml:space="preserve">青字・薄黄セル </t>
    </r>
    <r>
      <rPr>
        <sz val="10"/>
        <color rgb="FF000000"/>
        <rFont val="Arial"/>
        <family val="2"/>
      </rPr>
      <t xml:space="preserve">= </t>
    </r>
    <r>
      <rPr>
        <sz val="10"/>
        <color rgb="FF000000"/>
        <rFont val="Noto Sans CJK SC"/>
        <family val="2"/>
      </rPr>
      <t xml:space="preserve">調整してよい入力値（暫定）。黒字 </t>
    </r>
    <r>
      <rPr>
        <sz val="10"/>
        <color rgb="FF000000"/>
        <rFont val="Arial"/>
        <family val="2"/>
      </rPr>
      <t xml:space="preserve">= </t>
    </r>
    <r>
      <rPr>
        <sz val="10"/>
        <color rgb="FF000000"/>
        <rFont val="Noto Sans CJK SC"/>
        <family val="2"/>
      </rPr>
      <t>説明・固定・見出し。</t>
    </r>
  </si>
  <si>
    <t>重要</t>
  </si>
  <si>
    <r>
      <rPr>
        <sz val="10"/>
        <color rgb="FF000000"/>
        <rFont val="Noto Sans CJK SC"/>
        <family val="2"/>
      </rPr>
      <t xml:space="preserve">全数値は暫定の『叩き台』。実際に遊んで </t>
    </r>
    <r>
      <rPr>
        <sz val="10"/>
        <color rgb="FF000000"/>
        <rFont val="Arial"/>
        <family val="2"/>
      </rPr>
      <t xml:space="preserve">100 </t>
    </r>
    <r>
      <rPr>
        <sz val="10"/>
        <color rgb="FF000000"/>
        <rFont val="Noto Sans CJK SC"/>
        <family val="2"/>
      </rPr>
      <t>回単位で書き換える前提。</t>
    </r>
  </si>
  <si>
    <t>シート一覧</t>
  </si>
  <si>
    <r>
      <rPr>
        <sz val="10"/>
        <color rgb="FF000000"/>
        <rFont val="Noto Sans CJK SC"/>
        <family val="2"/>
      </rPr>
      <t xml:space="preserve">経済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クエスト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戦闘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加齢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満足度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施設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格付け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疲労</t>
    </r>
    <r>
      <rPr>
        <sz val="10"/>
        <color rgb="FF000000"/>
        <rFont val="Arial"/>
        <family val="2"/>
      </rPr>
      <t>_</t>
    </r>
    <r>
      <rPr>
        <sz val="10"/>
        <color rgb="FF000000"/>
        <rFont val="Noto Sans CJK SC"/>
        <family val="2"/>
      </rPr>
      <t>相性</t>
    </r>
    <r>
      <rPr>
        <sz val="10"/>
        <color rgb="FF000000"/>
        <rFont val="Arial"/>
        <family val="2"/>
      </rPr>
      <t>_</t>
    </r>
    <r>
      <rPr>
        <sz val="10"/>
        <color rgb="FF000000"/>
        <rFont val="Noto Sans CJK SC"/>
        <family val="2"/>
      </rPr>
      <t>顧問</t>
    </r>
  </si>
  <si>
    <t>注意</t>
  </si>
  <si>
    <r>
      <rPr>
        <sz val="10"/>
        <color rgb="FF000000"/>
        <rFont val="Noto Sans CJK SC"/>
        <family val="2"/>
      </rPr>
      <t xml:space="preserve">職業 </t>
    </r>
    <r>
      <rPr>
        <sz val="10"/>
        <color rgb="FF000000"/>
        <rFont val="Arial"/>
        <family val="2"/>
      </rPr>
      <t xml:space="preserve">Scout </t>
    </r>
    <r>
      <rPr>
        <sz val="10"/>
        <color rgb="FF000000"/>
        <rFont val="Noto Sans CJK SC"/>
        <family val="2"/>
      </rPr>
      <t xml:space="preserve">は </t>
    </r>
    <r>
      <rPr>
        <sz val="10"/>
        <color rgb="FF000000"/>
        <rFont val="Arial"/>
        <family val="2"/>
      </rPr>
      <t xml:space="preserve">Ranger </t>
    </r>
    <r>
      <rPr>
        <sz val="10"/>
        <color rgb="FF000000"/>
        <rFont val="Noto Sans CJK SC"/>
        <family val="2"/>
      </rPr>
      <t xml:space="preserve">にリネーム済み（顧問 </t>
    </r>
    <r>
      <rPr>
        <sz val="10"/>
        <color rgb="FF000000"/>
        <rFont val="Arial"/>
        <family val="2"/>
      </rPr>
      <t xml:space="preserve">Scout Master </t>
    </r>
    <r>
      <rPr>
        <sz val="10"/>
        <color rgb="FF000000"/>
        <rFont val="Noto Sans CJK SC"/>
        <family val="2"/>
      </rPr>
      <t>との衝突回避</t>
    </r>
    <r>
      <rPr>
        <sz val="10"/>
        <color rgb="FF000000"/>
        <rFont val="Arial"/>
        <family val="2"/>
      </rPr>
      <t>, 03 §2.1</t>
    </r>
    <r>
      <rPr>
        <sz val="10"/>
        <color rgb="FF000000"/>
        <rFont val="Noto Sans CJK SC"/>
        <family val="2"/>
      </rPr>
      <t>）。</t>
    </r>
  </si>
  <si>
    <r>
      <rPr>
        <sz val="10"/>
        <color rgb="FF000000"/>
        <rFont val="Noto Sans CJK SC"/>
        <family val="2"/>
      </rPr>
      <t xml:space="preserve">満足度 </t>
    </r>
    <r>
      <rPr>
        <sz val="10"/>
        <color rgb="FF000000"/>
        <rFont val="Arial"/>
        <family val="2"/>
      </rPr>
      <t>= Satisfaction</t>
    </r>
    <r>
      <rPr>
        <sz val="10"/>
        <color rgb="FF000000"/>
        <rFont val="Noto Sans CJK SC"/>
        <family val="2"/>
      </rPr>
      <t xml:space="preserve">。戦闘士気 </t>
    </r>
    <r>
      <rPr>
        <sz val="10"/>
        <color rgb="FF000000"/>
        <rFont val="Arial"/>
        <family val="2"/>
      </rPr>
      <t xml:space="preserve">Morale </t>
    </r>
    <r>
      <rPr>
        <sz val="10"/>
        <color rgb="FF000000"/>
        <rFont val="Noto Sans CJK SC"/>
        <family val="2"/>
      </rPr>
      <t>とは別概念（</t>
    </r>
    <r>
      <rPr>
        <sz val="10"/>
        <color rgb="FF000000"/>
        <rFont val="Arial"/>
        <family val="2"/>
      </rPr>
      <t>03 §2.3</t>
    </r>
    <r>
      <rPr>
        <sz val="10"/>
        <color rgb="FF000000"/>
        <rFont val="Noto Sans CJK SC"/>
        <family val="2"/>
      </rPr>
      <t>）。</t>
    </r>
  </si>
  <si>
    <t>経済パラメータ</t>
  </si>
  <si>
    <t>初期資金・助成金・週給基準・退職金・破産条件。</t>
  </si>
  <si>
    <t>項目</t>
  </si>
  <si>
    <t>値</t>
  </si>
  <si>
    <t>単位</t>
  </si>
  <si>
    <t>備考</t>
  </si>
  <si>
    <t>初期資金</t>
  </si>
  <si>
    <t>G</t>
  </si>
  <si>
    <t>開始時の所持金</t>
  </si>
  <si>
    <r>
      <rPr>
        <b/>
        <sz val="10"/>
        <color rgb="FF2F4B7C"/>
        <rFont val="Noto Sans CJK SC"/>
        <family val="2"/>
      </rPr>
      <t>月次助成金</t>
    </r>
    <r>
      <rPr>
        <b/>
        <sz val="10"/>
        <color rgb="FF2F4B7C"/>
        <rFont val="Arial"/>
        <family val="2"/>
      </rPr>
      <t>(</t>
    </r>
    <r>
      <rPr>
        <b/>
        <sz val="10"/>
        <color rgb="FF2F4B7C"/>
        <rFont val="Noto Sans CJK SC"/>
        <family val="2"/>
      </rPr>
      <t>基本</t>
    </r>
    <r>
      <rPr>
        <b/>
        <sz val="10"/>
        <color rgb="FF2F4B7C"/>
        <rFont val="Arial"/>
        <family val="2"/>
      </rPr>
      <t>)</t>
    </r>
  </si>
  <si>
    <r>
      <rPr>
        <sz val="10"/>
        <color rgb="FF000000"/>
        <rFont val="Arial"/>
        <family val="2"/>
      </rPr>
      <t>G/</t>
    </r>
    <r>
      <rPr>
        <sz val="10"/>
        <color rgb="FF000000"/>
        <rFont val="Noto Sans CJK SC"/>
        <family val="2"/>
      </rPr>
      <t>月</t>
    </r>
  </si>
  <si>
    <r>
      <rPr>
        <sz val="10"/>
        <color rgb="FF000000"/>
        <rFont val="Noto Sans CJK SC"/>
        <family val="2"/>
      </rPr>
      <t>格付けランクで倍率</t>
    </r>
    <r>
      <rPr>
        <sz val="10"/>
        <color rgb="FF000000"/>
        <rFont val="Arial"/>
        <family val="2"/>
      </rPr>
      <t>(→</t>
    </r>
    <r>
      <rPr>
        <sz val="10"/>
        <color rgb="FF000000"/>
        <rFont val="Noto Sans CJK SC"/>
        <family val="2"/>
      </rPr>
      <t>格付け</t>
    </r>
    <r>
      <rPr>
        <sz val="10"/>
        <color rgb="FF000000"/>
        <rFont val="Arial"/>
        <family val="2"/>
      </rPr>
      <t>)</t>
    </r>
    <r>
      <rPr>
        <sz val="10"/>
        <color rgb="FF000000"/>
        <rFont val="Noto Sans CJK SC"/>
        <family val="2"/>
      </rPr>
      <t>。脅威度</t>
    </r>
    <r>
      <rPr>
        <sz val="10"/>
        <color rgb="FF000000"/>
        <rFont val="Arial"/>
        <family val="2"/>
      </rPr>
      <t>75%</t>
    </r>
    <r>
      <rPr>
        <sz val="10"/>
        <color rgb="FF000000"/>
        <rFont val="Noto Sans CJK SC"/>
        <family val="2"/>
      </rPr>
      <t>超で</t>
    </r>
    <r>
      <rPr>
        <sz val="10"/>
        <color rgb="FF000000"/>
        <rFont val="Arial"/>
        <family val="2"/>
      </rPr>
      <t>50%</t>
    </r>
    <r>
      <rPr>
        <sz val="10"/>
        <color rgb="FF000000"/>
        <rFont val="Noto Sans CJK SC"/>
        <family val="2"/>
      </rPr>
      <t>カット</t>
    </r>
  </si>
  <si>
    <t>破産猶予</t>
  </si>
  <si>
    <t>週</t>
  </si>
  <si>
    <r>
      <rPr>
        <sz val="10"/>
        <color rgb="FF000000"/>
        <rFont val="Noto Sans CJK SC"/>
        <family val="2"/>
      </rPr>
      <t>赤字が連続でこの週数続くと敗北</t>
    </r>
    <r>
      <rPr>
        <sz val="10"/>
        <color rgb="FF000000"/>
        <rFont val="Arial"/>
        <family val="2"/>
      </rPr>
      <t>(03 §8.3)</t>
    </r>
  </si>
  <si>
    <r>
      <rPr>
        <b/>
        <sz val="10"/>
        <color rgb="FF2F4B7C"/>
        <rFont val="Noto Sans CJK SC"/>
        <family val="2"/>
      </rPr>
      <t>退職金</t>
    </r>
    <r>
      <rPr>
        <b/>
        <sz val="10"/>
        <color rgb="FF2F4B7C"/>
        <rFont val="Arial"/>
        <family val="2"/>
      </rPr>
      <t>(</t>
    </r>
    <r>
      <rPr>
        <b/>
        <sz val="10"/>
        <color rgb="FF2F4B7C"/>
        <rFont val="Noto Sans CJK SC"/>
        <family val="2"/>
      </rPr>
      <t>週給倍率</t>
    </r>
    <r>
      <rPr>
        <b/>
        <sz val="10"/>
        <color rgb="FF2F4B7C"/>
        <rFont val="Arial"/>
        <family val="2"/>
      </rPr>
      <t>)</t>
    </r>
  </si>
  <si>
    <r>
      <rPr>
        <sz val="10"/>
        <color rgb="FF000000"/>
        <rFont val="Arial"/>
        <family val="2"/>
      </rPr>
      <t>×</t>
    </r>
    <r>
      <rPr>
        <sz val="10"/>
        <color rgb="FF000000"/>
        <rFont val="Noto Sans CJK SC"/>
        <family val="2"/>
      </rPr>
      <t>週給</t>
    </r>
  </si>
  <si>
    <r>
      <rPr>
        <sz val="10"/>
        <color rgb="FF000000"/>
        <rFont val="Noto Sans CJK SC"/>
        <family val="2"/>
      </rPr>
      <t>顧問再任用時に一括支給</t>
    </r>
    <r>
      <rPr>
        <sz val="10"/>
        <color rgb="FF000000"/>
        <rFont val="Arial"/>
        <family val="2"/>
      </rPr>
      <t>(03 §7)</t>
    </r>
  </si>
  <si>
    <t>昇給提示 下限倍率</t>
  </si>
  <si>
    <t>×</t>
  </si>
  <si>
    <r>
      <rPr>
        <sz val="10"/>
        <color rgb="FF000000"/>
        <rFont val="Noto Sans CJK SC"/>
        <family val="2"/>
      </rPr>
      <t>退団回避の昇給</t>
    </r>
    <r>
      <rPr>
        <sz val="10"/>
        <color rgb="FF000000"/>
        <rFont val="Arial"/>
        <family val="2"/>
      </rPr>
      <t>(03 §5.2)</t>
    </r>
  </si>
  <si>
    <t>昇給提示 上限倍率</t>
  </si>
  <si>
    <t>週給の適正値（冒険者の実力ランク別・週あたり）</t>
  </si>
  <si>
    <t>実力ランク</t>
  </si>
  <si>
    <r>
      <rPr>
        <b/>
        <sz val="10"/>
        <color rgb="FFFFFFFF"/>
        <rFont val="Noto Sans CJK SC"/>
        <family val="2"/>
      </rPr>
      <t>適正週給</t>
    </r>
    <r>
      <rPr>
        <b/>
        <sz val="10"/>
        <color rgb="FFFFFFFF"/>
        <rFont val="Arial"/>
        <family val="2"/>
      </rPr>
      <t>(G)</t>
    </r>
  </si>
  <si>
    <t>E</t>
  </si>
  <si>
    <r>
      <rPr>
        <sz val="10"/>
        <color rgb="FF000000"/>
        <rFont val="Noto Sans CJK SC"/>
        <family val="2"/>
      </rPr>
      <t>実支給が適正の</t>
    </r>
    <r>
      <rPr>
        <sz val="10"/>
        <color rgb="FF000000"/>
        <rFont val="Arial"/>
        <family val="2"/>
      </rPr>
      <t>80%</t>
    </r>
    <r>
      <rPr>
        <sz val="10"/>
        <color rgb="FF000000"/>
        <rFont val="Noto Sans CJK SC"/>
        <family val="2"/>
      </rPr>
      <t>未満で満足度</t>
    </r>
    <r>
      <rPr>
        <sz val="10"/>
        <color rgb="FF000000"/>
        <rFont val="Arial"/>
        <family val="2"/>
      </rPr>
      <t>-8/</t>
    </r>
    <r>
      <rPr>
        <sz val="10"/>
        <color rgb="FF000000"/>
        <rFont val="Noto Sans CJK SC"/>
        <family val="2"/>
      </rPr>
      <t>週</t>
    </r>
    <r>
      <rPr>
        <sz val="10"/>
        <color rgb="FF000000"/>
        <rFont val="Arial"/>
        <family val="2"/>
      </rPr>
      <t>(→</t>
    </r>
    <r>
      <rPr>
        <sz val="10"/>
        <color rgb="FF000000"/>
        <rFont val="Noto Sans CJK SC"/>
        <family val="2"/>
      </rPr>
      <t>満足度</t>
    </r>
    <r>
      <rPr>
        <sz val="10"/>
        <color rgb="FF000000"/>
        <rFont val="Arial"/>
        <family val="2"/>
      </rPr>
      <t>)</t>
    </r>
  </si>
  <si>
    <t>D</t>
  </si>
  <si>
    <t>C</t>
  </si>
  <si>
    <t>B</t>
  </si>
  <si>
    <t>A</t>
  </si>
  <si>
    <t>S</t>
  </si>
  <si>
    <t>クエスト定義（ランク別）</t>
  </si>
  <si>
    <r>
      <rPr>
        <i/>
        <sz val="9"/>
        <color rgb="FF555555"/>
        <rFont val="Noto Sans CJK SC"/>
        <family val="2"/>
      </rPr>
      <t>難易度・索敵要求・報酬・脅威度への影響。</t>
    </r>
    <r>
      <rPr>
        <i/>
        <sz val="9"/>
        <color rgb="FF555555"/>
        <rFont val="Arial"/>
        <family val="2"/>
      </rPr>
      <t>EnemyCP</t>
    </r>
    <r>
      <rPr>
        <i/>
        <sz val="9"/>
        <color rgb="FF555555"/>
        <rFont val="Noto Sans CJK SC"/>
        <family val="2"/>
      </rPr>
      <t>列は難易度中央値での例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戦闘シート係数を参照する式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。</t>
    </r>
  </si>
  <si>
    <t>ランク</t>
  </si>
  <si>
    <r>
      <rPr>
        <b/>
        <sz val="10"/>
        <color rgb="FFFFFFFF"/>
        <rFont val="Noto Sans CJK SC"/>
        <family val="2"/>
      </rPr>
      <t>難易度</t>
    </r>
    <r>
      <rPr>
        <b/>
        <sz val="10"/>
        <color rgb="FFFFFFFF"/>
        <rFont val="Arial"/>
        <family val="2"/>
      </rPr>
      <t>min</t>
    </r>
  </si>
  <si>
    <r>
      <rPr>
        <b/>
        <sz val="10"/>
        <color rgb="FFFFFFFF"/>
        <rFont val="Noto Sans CJK SC"/>
        <family val="2"/>
      </rPr>
      <t>難易度</t>
    </r>
    <r>
      <rPr>
        <b/>
        <sz val="10"/>
        <color rgb="FFFFFFFF"/>
        <rFont val="Arial"/>
        <family val="2"/>
      </rPr>
      <t>max</t>
    </r>
  </si>
  <si>
    <r>
      <rPr>
        <b/>
        <sz val="10"/>
        <color rgb="FFFFFFFF"/>
        <rFont val="Noto Sans CJK SC"/>
        <family val="2"/>
      </rPr>
      <t>索敵要求</t>
    </r>
    <r>
      <rPr>
        <b/>
        <sz val="10"/>
        <color rgb="FFFFFFFF"/>
        <rFont val="Arial"/>
        <family val="2"/>
      </rPr>
      <t>min</t>
    </r>
  </si>
  <si>
    <r>
      <rPr>
        <b/>
        <sz val="10"/>
        <color rgb="FFFFFFFF"/>
        <rFont val="Noto Sans CJK SC"/>
        <family val="2"/>
      </rPr>
      <t>索敵要求</t>
    </r>
    <r>
      <rPr>
        <b/>
        <sz val="10"/>
        <color rgb="FFFFFFFF"/>
        <rFont val="Arial"/>
        <family val="2"/>
      </rPr>
      <t>max</t>
    </r>
  </si>
  <si>
    <r>
      <rPr>
        <b/>
        <sz val="10"/>
        <color rgb="FFFFFFFF"/>
        <rFont val="Noto Sans CJK SC"/>
        <family val="2"/>
      </rPr>
      <t>報酬</t>
    </r>
    <r>
      <rPr>
        <b/>
        <sz val="10"/>
        <color rgb="FFFFFFFF"/>
        <rFont val="Arial"/>
        <family val="2"/>
      </rPr>
      <t>min(G)</t>
    </r>
  </si>
  <si>
    <r>
      <rPr>
        <b/>
        <sz val="10"/>
        <color rgb="FFFFFFFF"/>
        <rFont val="Noto Sans CJK SC"/>
        <family val="2"/>
      </rPr>
      <t>報酬</t>
    </r>
    <r>
      <rPr>
        <b/>
        <sz val="10"/>
        <color rgb="FFFFFFFF"/>
        <rFont val="Arial"/>
        <family val="2"/>
      </rPr>
      <t>max(G)</t>
    </r>
  </si>
  <si>
    <r>
      <rPr>
        <b/>
        <sz val="10"/>
        <color rgb="FFFFFFFF"/>
        <rFont val="Noto Sans CJK SC"/>
        <family val="2"/>
      </rPr>
      <t>期限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週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</si>
  <si>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放置脅威</t>
    </r>
    <r>
      <rPr>
        <b/>
        <sz val="10"/>
        <color rgb="FFFFFFFF"/>
        <rFont val="Arial"/>
        <family val="2"/>
      </rPr>
      <t>+%</t>
    </r>
  </si>
  <si>
    <r>
      <rPr>
        <b/>
        <sz val="10"/>
        <color rgb="FFFFFFFF"/>
        <rFont val="Noto Sans CJK SC"/>
        <family val="2"/>
      </rPr>
      <t>達成脅威</t>
    </r>
    <r>
      <rPr>
        <b/>
        <sz val="10"/>
        <color rgb="FFFFFFFF"/>
        <rFont val="Arial"/>
        <family val="2"/>
      </rPr>
      <t>-%</t>
    </r>
  </si>
  <si>
    <r>
      <rPr>
        <b/>
        <sz val="10"/>
        <color rgb="FFFFFFFF"/>
        <rFont val="Arial"/>
        <family val="2"/>
      </rPr>
      <t>EnemyCP(</t>
    </r>
    <r>
      <rPr>
        <b/>
        <sz val="10"/>
        <color rgb="FFFFFFFF"/>
        <rFont val="Noto Sans CJK SC"/>
        <family val="2"/>
      </rPr>
      <t>中央値例</t>
    </r>
    <r>
      <rPr>
        <b/>
        <sz val="10"/>
        <color rgb="FFFFFFFF"/>
        <rFont val="Arial"/>
        <family val="2"/>
      </rPr>
      <t>)</t>
    </r>
  </si>
  <si>
    <r>
      <rPr>
        <i/>
        <sz val="9"/>
        <color rgb="FF555555"/>
        <rFont val="Arial"/>
        <family val="2"/>
      </rPr>
      <t>※ EnemyCP</t>
    </r>
    <r>
      <rPr>
        <i/>
        <sz val="9"/>
        <color rgb="FF555555"/>
        <rFont val="Noto Sans CJK SC"/>
        <family val="2"/>
      </rPr>
      <t>列は式（戦闘シートの敵</t>
    </r>
    <r>
      <rPr>
        <i/>
        <sz val="9"/>
        <color rgb="FF555555"/>
        <rFont val="Arial"/>
        <family val="2"/>
      </rPr>
      <t>CP</t>
    </r>
    <r>
      <rPr>
        <i/>
        <sz val="9"/>
        <color rgb="FF555555"/>
        <rFont val="Noto Sans CJK SC"/>
        <family val="2"/>
      </rPr>
      <t>係数を変えると自動再計算）。</t>
    </r>
    <r>
      <rPr>
        <i/>
        <sz val="9"/>
        <color rgb="FF555555"/>
        <rFont val="Arial"/>
        <family val="2"/>
      </rPr>
      <t>PartyCP</t>
    </r>
    <r>
      <rPr>
        <i/>
        <sz val="9"/>
        <color rgb="FF555555"/>
        <rFont val="Noto Sans CJK SC"/>
        <family val="2"/>
      </rPr>
      <t>がこれを上回る編成が目安。</t>
    </r>
  </si>
  <si>
    <t>戦闘解決パラメータ</t>
  </si>
  <si>
    <r>
      <rPr>
        <i/>
        <sz val="9"/>
        <color rgb="FF555555"/>
        <rFont val="Noto Sans CJK SC"/>
        <family val="2"/>
      </rPr>
      <t>個人</t>
    </r>
    <r>
      <rPr>
        <i/>
        <sz val="9"/>
        <color rgb="FF555555"/>
        <rFont val="Arial"/>
        <family val="2"/>
      </rPr>
      <t>CP</t>
    </r>
    <r>
      <rPr>
        <i/>
        <sz val="9"/>
        <color rgb="FF555555"/>
        <rFont val="Noto Sans CJK SC"/>
        <family val="2"/>
      </rPr>
      <t>重み・配置補正・比率閾値・ダウン</t>
    </r>
    <r>
      <rPr>
        <i/>
        <sz val="9"/>
        <color rgb="FF555555"/>
        <rFont val="Arial"/>
        <family val="2"/>
      </rPr>
      <t>/</t>
    </r>
    <r>
      <rPr>
        <i/>
        <sz val="9"/>
        <color rgb="FF555555"/>
        <rFont val="Noto Sans CJK SC"/>
        <family val="2"/>
      </rPr>
      <t>致死判定</t>
    </r>
    <r>
      <rPr>
        <i/>
        <sz val="9"/>
        <color rgb="FF555555"/>
        <rFont val="Arial"/>
        <family val="2"/>
      </rPr>
      <t>(03 §4)</t>
    </r>
    <r>
      <rPr>
        <i/>
        <sz val="9"/>
        <color rgb="FF555555"/>
        <rFont val="Noto Sans CJK SC"/>
        <family val="2"/>
      </rPr>
      <t>。</t>
    </r>
  </si>
  <si>
    <r>
      <rPr>
        <b/>
        <sz val="10"/>
        <color rgb="FF2F4B7C"/>
        <rFont val="Noto Sans CJK SC"/>
        <family val="2"/>
      </rPr>
      <t>個人</t>
    </r>
    <r>
      <rPr>
        <b/>
        <sz val="10"/>
        <color rgb="FF2F4B7C"/>
        <rFont val="Arial"/>
        <family val="2"/>
      </rPr>
      <t xml:space="preserve">CP </t>
    </r>
    <r>
      <rPr>
        <b/>
        <sz val="10"/>
        <color rgb="FF2F4B7C"/>
        <rFont val="Noto Sans CJK SC"/>
        <family val="2"/>
      </rPr>
      <t>重み係数（</t>
    </r>
    <r>
      <rPr>
        <b/>
        <sz val="10"/>
        <color rgb="FF2F4B7C"/>
        <rFont val="Arial"/>
        <family val="2"/>
      </rPr>
      <t>SCT</t>
    </r>
    <r>
      <rPr>
        <b/>
        <sz val="10"/>
        <color rgb="FF2F4B7C"/>
        <rFont val="Noto Sans CJK SC"/>
        <family val="2"/>
      </rPr>
      <t>は索敵専任のため</t>
    </r>
    <r>
      <rPr>
        <b/>
        <sz val="10"/>
        <color rgb="FF2F4B7C"/>
        <rFont val="Arial"/>
        <family val="2"/>
      </rPr>
      <t>CP</t>
    </r>
    <r>
      <rPr>
        <b/>
        <sz val="10"/>
        <color rgb="FF2F4B7C"/>
        <rFont val="Noto Sans CJK SC"/>
        <family val="2"/>
      </rPr>
      <t>に不参加）</t>
    </r>
  </si>
  <si>
    <t>係数</t>
  </si>
  <si>
    <t>説明</t>
  </si>
  <si>
    <t>wSTR</t>
  </si>
  <si>
    <t>筋力</t>
  </si>
  <si>
    <t>wAGI</t>
  </si>
  <si>
    <t>俊敏</t>
  </si>
  <si>
    <t>wEND</t>
  </si>
  <si>
    <t>耐久</t>
  </si>
  <si>
    <t>wMAG</t>
  </si>
  <si>
    <t>魔力</t>
  </si>
  <si>
    <t>wLDR</t>
  </si>
  <si>
    <t>指揮</t>
  </si>
  <si>
    <r>
      <rPr>
        <b/>
        <sz val="10"/>
        <color rgb="FF2F4B7C"/>
        <rFont val="Noto Sans CJK SC"/>
        <family val="2"/>
      </rPr>
      <t>敵</t>
    </r>
    <r>
      <rPr>
        <b/>
        <sz val="10"/>
        <color rgb="FF2F4B7C"/>
        <rFont val="Arial"/>
        <family val="2"/>
      </rPr>
      <t>CP</t>
    </r>
    <r>
      <rPr>
        <b/>
        <sz val="10"/>
        <color rgb="FF2F4B7C"/>
        <rFont val="Noto Sans CJK SC"/>
        <family val="2"/>
      </rPr>
      <t>係数</t>
    </r>
  </si>
  <si>
    <r>
      <rPr>
        <sz val="10"/>
        <color rgb="FF000000"/>
        <rFont val="Arial"/>
        <family val="2"/>
      </rPr>
      <t xml:space="preserve">EnemyCP = QuestDifficulty × </t>
    </r>
    <r>
      <rPr>
        <sz val="10"/>
        <color rgb="FF000000"/>
        <rFont val="Noto Sans CJK SC"/>
        <family val="2"/>
      </rPr>
      <t>この係数</t>
    </r>
  </si>
  <si>
    <r>
      <rPr>
        <b/>
        <sz val="10"/>
        <color rgb="FF2F4B7C"/>
        <rFont val="Noto Sans CJK SC"/>
        <family val="2"/>
      </rPr>
      <t>職業</t>
    </r>
    <r>
      <rPr>
        <b/>
        <sz val="10"/>
        <color rgb="FF2F4B7C"/>
        <rFont val="Arial"/>
        <family val="2"/>
      </rPr>
      <t>×</t>
    </r>
    <r>
      <rPr>
        <b/>
        <sz val="10"/>
        <color rgb="FF2F4B7C"/>
        <rFont val="Noto Sans CJK SC"/>
        <family val="2"/>
      </rPr>
      <t>配置 の配置補正（個人</t>
    </r>
    <r>
      <rPr>
        <b/>
        <sz val="10"/>
        <color rgb="FF2F4B7C"/>
        <rFont val="Arial"/>
        <family val="2"/>
      </rPr>
      <t>CP</t>
    </r>
    <r>
      <rPr>
        <b/>
        <sz val="10"/>
        <color rgb="FF2F4B7C"/>
        <rFont val="Noto Sans CJK SC"/>
        <family val="2"/>
      </rPr>
      <t>に乗算）</t>
    </r>
  </si>
  <si>
    <t>職業</t>
  </si>
  <si>
    <t>前衛</t>
  </si>
  <si>
    <t>後衛</t>
  </si>
  <si>
    <t>Warrior</t>
  </si>
  <si>
    <t>前衛特化・ヘイト集中</t>
  </si>
  <si>
    <t>Ranger</t>
  </si>
  <si>
    <t>前後どちらも可</t>
  </si>
  <si>
    <t>Mage</t>
  </si>
  <si>
    <t>後衛専任・範囲</t>
  </si>
  <si>
    <t>Cleric</t>
  </si>
  <si>
    <t>後衛専任・回復</t>
  </si>
  <si>
    <r>
      <rPr>
        <b/>
        <sz val="10"/>
        <color rgb="FF2F4B7C"/>
        <rFont val="Noto Sans CJK SC"/>
        <family val="2"/>
      </rPr>
      <t>戦闘比率</t>
    </r>
    <r>
      <rPr>
        <b/>
        <sz val="10"/>
        <color rgb="FF2F4B7C"/>
        <rFont val="Arial"/>
        <family val="2"/>
      </rPr>
      <t>(Ratio)</t>
    </r>
    <r>
      <rPr>
        <b/>
        <sz val="10"/>
        <color rgb="FF2F4B7C"/>
        <rFont val="Noto Sans CJK SC"/>
        <family val="2"/>
      </rPr>
      <t>による勝敗・損耗・ダウン確率</t>
    </r>
  </si>
  <si>
    <t>結果</t>
  </si>
  <si>
    <r>
      <rPr>
        <b/>
        <sz val="10"/>
        <color rgb="FFFFFFFF"/>
        <rFont val="Arial"/>
        <family val="2"/>
      </rPr>
      <t>Ratio</t>
    </r>
    <r>
      <rPr>
        <b/>
        <sz val="10"/>
        <color rgb="FFFFFFFF"/>
        <rFont val="Noto Sans CJK SC"/>
        <family val="2"/>
      </rPr>
      <t>下限</t>
    </r>
  </si>
  <si>
    <r>
      <rPr>
        <b/>
        <sz val="10"/>
        <color rgb="FFFFFFFF"/>
        <rFont val="Arial"/>
        <family val="2"/>
      </rPr>
      <t>HP</t>
    </r>
    <r>
      <rPr>
        <b/>
        <sz val="10"/>
        <color rgb="FFFFFFFF"/>
        <rFont val="Noto Sans CJK SC"/>
        <family val="2"/>
      </rPr>
      <t>消費</t>
    </r>
    <r>
      <rPr>
        <b/>
        <sz val="10"/>
        <color rgb="FFFFFFFF"/>
        <rFont val="Arial"/>
        <family val="2"/>
      </rPr>
      <t>min%</t>
    </r>
  </si>
  <si>
    <r>
      <rPr>
        <b/>
        <sz val="10"/>
        <color rgb="FFFFFFFF"/>
        <rFont val="Arial"/>
        <family val="2"/>
      </rPr>
      <t>HP</t>
    </r>
    <r>
      <rPr>
        <b/>
        <sz val="10"/>
        <color rgb="FFFFFFFF"/>
        <rFont val="Noto Sans CJK SC"/>
        <family val="2"/>
      </rPr>
      <t>消費</t>
    </r>
    <r>
      <rPr>
        <b/>
        <sz val="10"/>
        <color rgb="FFFFFFFF"/>
        <rFont val="Arial"/>
        <family val="2"/>
      </rPr>
      <t>max%</t>
    </r>
  </si>
  <si>
    <r>
      <rPr>
        <b/>
        <sz val="10"/>
        <color rgb="FFFFFFFF"/>
        <rFont val="Noto Sans CJK SC"/>
        <family val="2"/>
      </rPr>
      <t>ダウン確率</t>
    </r>
    <r>
      <rPr>
        <b/>
        <sz val="10"/>
        <color rgb="FFFFFFFF"/>
        <rFont val="Arial"/>
        <family val="2"/>
      </rPr>
      <t>%</t>
    </r>
  </si>
  <si>
    <t>完全勝利</t>
  </si>
  <si>
    <t>損耗軽微</t>
  </si>
  <si>
    <t>辛勝</t>
  </si>
  <si>
    <t>達成・中損耗</t>
  </si>
  <si>
    <t>苦戦敗退</t>
  </si>
  <si>
    <r>
      <rPr>
        <sz val="10"/>
        <color rgb="FF000000"/>
        <rFont val="Noto Sans CJK SC"/>
        <family val="2"/>
      </rPr>
      <t>失敗・ダウン判定有</t>
    </r>
    <r>
      <rPr>
        <sz val="10"/>
        <color rgb="FF000000"/>
        <rFont val="Arial"/>
        <family val="2"/>
      </rPr>
      <t>(→</t>
    </r>
    <r>
      <rPr>
        <sz val="10"/>
        <color rgb="FF000000"/>
        <rFont val="Noto Sans CJK SC"/>
        <family val="2"/>
      </rPr>
      <t>致死</t>
    </r>
    <r>
      <rPr>
        <sz val="10"/>
        <color rgb="FF000000"/>
        <rFont val="Arial"/>
        <family val="2"/>
      </rPr>
      <t>)</t>
    </r>
  </si>
  <si>
    <t>戦線崩壊</t>
  </si>
  <si>
    <r>
      <rPr>
        <sz val="10"/>
        <color rgb="FF000000"/>
        <rFont val="Noto Sans CJK SC"/>
        <family val="2"/>
      </rPr>
      <t>壊滅・ダウン判定有</t>
    </r>
    <r>
      <rPr>
        <sz val="10"/>
        <color rgb="FF000000"/>
        <rFont val="Arial"/>
        <family val="2"/>
      </rPr>
      <t>(→</t>
    </r>
    <r>
      <rPr>
        <sz val="10"/>
        <color rgb="FF000000"/>
        <rFont val="Noto Sans CJK SC"/>
        <family val="2"/>
      </rPr>
      <t>致死</t>
    </r>
    <r>
      <rPr>
        <sz val="10"/>
        <color rgb="FF000000"/>
        <rFont val="Arial"/>
        <family val="2"/>
      </rPr>
      <t>)</t>
    </r>
  </si>
  <si>
    <r>
      <rPr>
        <b/>
        <sz val="10"/>
        <color rgb="FF2F4B7C"/>
        <rFont val="Noto Sans CJK SC"/>
        <family val="2"/>
      </rPr>
      <t>致死判定（ダウンした者のみ・</t>
    </r>
    <r>
      <rPr>
        <b/>
        <sz val="10"/>
        <color rgb="FF2F4B7C"/>
        <rFont val="Arial"/>
        <family val="2"/>
      </rPr>
      <t>03 §4.3</t>
    </r>
    <r>
      <rPr>
        <b/>
        <sz val="10"/>
        <color rgb="FF2F4B7C"/>
        <rFont val="Noto Sans CJK SC"/>
        <family val="2"/>
      </rPr>
      <t>）</t>
    </r>
  </si>
  <si>
    <r>
      <rPr>
        <b/>
        <sz val="10"/>
        <color rgb="FF2F4B7C"/>
        <rFont val="Noto Sans CJK SC"/>
        <family val="2"/>
      </rPr>
      <t xml:space="preserve">致死回避 </t>
    </r>
    <r>
      <rPr>
        <b/>
        <sz val="10"/>
        <color rgb="FF2F4B7C"/>
        <rFont val="Arial"/>
        <family val="2"/>
      </rPr>
      <t>END</t>
    </r>
    <r>
      <rPr>
        <b/>
        <sz val="10"/>
        <color rgb="FF2F4B7C"/>
        <rFont val="Noto Sans CJK SC"/>
        <family val="2"/>
      </rPr>
      <t>係数</t>
    </r>
  </si>
  <si>
    <r>
      <rPr>
        <sz val="10"/>
        <color rgb="FF000000"/>
        <rFont val="Arial"/>
        <family val="2"/>
      </rPr>
      <t xml:space="preserve">SurvivalThreshold </t>
    </r>
    <r>
      <rPr>
        <sz val="10"/>
        <color rgb="FF000000"/>
        <rFont val="Noto Sans CJK SC"/>
        <family val="2"/>
      </rPr>
      <t>への寄与</t>
    </r>
  </si>
  <si>
    <r>
      <rPr>
        <b/>
        <sz val="10"/>
        <color rgb="FF2F4B7C"/>
        <rFont val="Noto Sans CJK SC"/>
        <family val="2"/>
      </rPr>
      <t>致死回避 神官</t>
    </r>
    <r>
      <rPr>
        <b/>
        <sz val="10"/>
        <color rgb="FF2F4B7C"/>
        <rFont val="Arial"/>
        <family val="2"/>
      </rPr>
      <t>MAG</t>
    </r>
    <r>
      <rPr>
        <b/>
        <sz val="10"/>
        <color rgb="FF2F4B7C"/>
        <rFont val="Noto Sans CJK SC"/>
        <family val="2"/>
      </rPr>
      <t>係数</t>
    </r>
  </si>
  <si>
    <r>
      <rPr>
        <sz val="10"/>
        <color rgb="FF000000"/>
        <rFont val="Noto Sans CJK SC"/>
        <family val="2"/>
      </rPr>
      <t>同パーティ神官の</t>
    </r>
    <r>
      <rPr>
        <sz val="10"/>
        <color rgb="FF000000"/>
        <rFont val="Arial"/>
        <family val="2"/>
      </rPr>
      <t>MAG×</t>
    </r>
    <r>
      <rPr>
        <sz val="10"/>
        <color rgb="FF000000"/>
        <rFont val="Noto Sans CJK SC"/>
        <family val="2"/>
      </rPr>
      <t>係数</t>
    </r>
  </si>
  <si>
    <r>
      <rPr>
        <b/>
        <sz val="10"/>
        <color rgb="FF2F4B7C"/>
        <rFont val="Noto Sans CJK SC"/>
        <family val="2"/>
      </rPr>
      <t>致死回避 隊長</t>
    </r>
    <r>
      <rPr>
        <b/>
        <sz val="10"/>
        <color rgb="FF2F4B7C"/>
        <rFont val="Arial"/>
        <family val="2"/>
      </rPr>
      <t>LDR</t>
    </r>
    <r>
      <rPr>
        <b/>
        <sz val="10"/>
        <color rgb="FF2F4B7C"/>
        <rFont val="Noto Sans CJK SC"/>
        <family val="2"/>
      </rPr>
      <t>係数</t>
    </r>
  </si>
  <si>
    <r>
      <rPr>
        <sz val="10"/>
        <color rgb="FF000000"/>
        <rFont val="Noto Sans CJK SC"/>
        <family val="2"/>
      </rPr>
      <t>隊長の</t>
    </r>
    <r>
      <rPr>
        <sz val="10"/>
        <color rgb="FF000000"/>
        <rFont val="Arial"/>
        <family val="2"/>
      </rPr>
      <t>LDR×</t>
    </r>
    <r>
      <rPr>
        <sz val="10"/>
        <color rgb="FF000000"/>
        <rFont val="Noto Sans CJK SC"/>
        <family val="2"/>
      </rPr>
      <t>係数</t>
    </r>
  </si>
  <si>
    <t>閾値クランプ下限</t>
  </si>
  <si>
    <r>
      <rPr>
        <sz val="10"/>
        <color rgb="FF000000"/>
        <rFont val="Arial"/>
        <family val="2"/>
      </rPr>
      <t xml:space="preserve">Threshold </t>
    </r>
    <r>
      <rPr>
        <sz val="10"/>
        <color rgb="FF000000"/>
        <rFont val="Noto Sans CJK SC"/>
        <family val="2"/>
      </rPr>
      <t>の最小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必ずロスト余地を残す</t>
    </r>
    <r>
      <rPr>
        <sz val="10"/>
        <color rgb="FF000000"/>
        <rFont val="Arial"/>
        <family val="2"/>
      </rPr>
      <t>)</t>
    </r>
  </si>
  <si>
    <t>閾値クランプ上限</t>
  </si>
  <si>
    <r>
      <rPr>
        <sz val="10"/>
        <color rgb="FF000000"/>
        <rFont val="Arial"/>
        <family val="2"/>
      </rPr>
      <t xml:space="preserve">Threshold </t>
    </r>
    <r>
      <rPr>
        <sz val="10"/>
        <color rgb="FF000000"/>
        <rFont val="Noto Sans CJK SC"/>
        <family val="2"/>
      </rPr>
      <t>の最大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硬い前衛でも</t>
    </r>
    <r>
      <rPr>
        <sz val="10"/>
        <color rgb="FF000000"/>
        <rFont val="Arial"/>
        <family val="2"/>
      </rPr>
      <t>0%</t>
    </r>
    <r>
      <rPr>
        <sz val="10"/>
        <color rgb="FF000000"/>
        <rFont val="Noto Sans CJK SC"/>
        <family val="2"/>
      </rPr>
      <t>にしない</t>
    </r>
    <r>
      <rPr>
        <sz val="10"/>
        <color rgb="FF000000"/>
        <rFont val="Arial"/>
        <family val="2"/>
      </rPr>
      <t>)</t>
    </r>
  </si>
  <si>
    <r>
      <rPr>
        <b/>
        <sz val="10"/>
        <color rgb="FF2F4B7C"/>
        <rFont val="Noto Sans CJK SC"/>
        <family val="2"/>
      </rPr>
      <t>不可逆帯幅</t>
    </r>
    <r>
      <rPr>
        <b/>
        <sz val="10"/>
        <color rgb="FF2F4B7C"/>
        <rFont val="Arial"/>
        <family val="2"/>
      </rPr>
      <t>(PermanentBand)</t>
    </r>
  </si>
  <si>
    <r>
      <rPr>
        <sz val="10"/>
        <color rgb="FF000000"/>
        <rFont val="Arial"/>
        <family val="2"/>
      </rPr>
      <t>Threshold</t>
    </r>
    <r>
      <rPr>
        <sz val="10"/>
        <color rgb="FF000000"/>
        <rFont val="Noto Sans CJK SC"/>
        <family val="2"/>
      </rPr>
      <t>超〜</t>
    </r>
    <r>
      <rPr>
        <sz val="10"/>
        <color rgb="FF000000"/>
        <rFont val="Arial"/>
        <family val="2"/>
      </rPr>
      <t>+</t>
    </r>
    <r>
      <rPr>
        <sz val="10"/>
        <color rgb="FF000000"/>
        <rFont val="Noto Sans CJK SC"/>
        <family val="2"/>
      </rPr>
      <t>この幅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>不可逆障害。超過</t>
    </r>
    <r>
      <rPr>
        <sz val="10"/>
        <color rgb="FF000000"/>
        <rFont val="Arial"/>
        <family val="2"/>
      </rPr>
      <t>=</t>
    </r>
    <r>
      <rPr>
        <sz val="10"/>
        <color rgb="FF000000"/>
        <rFont val="Noto Sans CJK SC"/>
        <family val="2"/>
      </rPr>
      <t>戦死</t>
    </r>
  </si>
  <si>
    <r>
      <rPr>
        <b/>
        <sz val="10"/>
        <color rgb="FF2F4B7C"/>
        <rFont val="Arial"/>
        <family val="2"/>
      </rPr>
      <t>AGI</t>
    </r>
    <r>
      <rPr>
        <b/>
        <sz val="10"/>
        <color rgb="FF2F4B7C"/>
        <rFont val="Noto Sans CJK SC"/>
        <family val="2"/>
      </rPr>
      <t>ダウン低減係数</t>
    </r>
  </si>
  <si>
    <r>
      <rPr>
        <sz val="10"/>
        <color rgb="FF000000"/>
        <rFont val="Noto Sans CJK SC"/>
        <family val="2"/>
      </rPr>
      <t xml:space="preserve">ダウン確率 </t>
    </r>
    <r>
      <rPr>
        <sz val="10"/>
        <color rgb="FF000000"/>
        <rFont val="Arial"/>
        <family val="2"/>
      </rPr>
      <t>-= AGI×</t>
    </r>
    <r>
      <rPr>
        <sz val="10"/>
        <color rgb="FF000000"/>
        <rFont val="Noto Sans CJK SC"/>
        <family val="2"/>
      </rPr>
      <t>係数</t>
    </r>
    <r>
      <rPr>
        <sz val="10"/>
        <color rgb="FF000000"/>
        <rFont val="Arial"/>
        <family val="2"/>
      </rPr>
      <t>(%)</t>
    </r>
    <r>
      <rPr>
        <sz val="10"/>
        <color rgb="FF000000"/>
        <rFont val="Noto Sans CJK SC"/>
        <family val="2"/>
      </rPr>
      <t>。逃走の表現</t>
    </r>
  </si>
  <si>
    <r>
      <rPr>
        <b/>
        <sz val="10"/>
        <color rgb="FF2F4B7C"/>
        <rFont val="Arial"/>
        <family val="2"/>
      </rPr>
      <t>AGI</t>
    </r>
    <r>
      <rPr>
        <b/>
        <sz val="10"/>
        <color rgb="FF2F4B7C"/>
        <rFont val="Noto Sans CJK SC"/>
        <family val="2"/>
      </rPr>
      <t>ダウン低減上限</t>
    </r>
  </si>
  <si>
    <r>
      <rPr>
        <sz val="10"/>
        <color rgb="FF000000"/>
        <rFont val="Noto Sans CJK SC"/>
        <family val="2"/>
      </rPr>
      <t>低減の上限</t>
    </r>
    <r>
      <rPr>
        <sz val="10"/>
        <color rgb="FF000000"/>
        <rFont val="Arial"/>
        <family val="2"/>
      </rPr>
      <t>(%)</t>
    </r>
  </si>
  <si>
    <t>加齢・成長・衰微</t>
  </si>
  <si>
    <r>
      <rPr>
        <i/>
        <sz val="9"/>
        <color rgb="FF555555"/>
        <rFont val="Noto Sans CJK SC"/>
        <family val="2"/>
      </rPr>
      <t>年齢帯別の成長率と衰微</t>
    </r>
    <r>
      <rPr>
        <i/>
        <sz val="9"/>
        <color rgb="FF555555"/>
        <rFont val="Arial"/>
        <family val="2"/>
      </rPr>
      <t>(03 §3)</t>
    </r>
    <r>
      <rPr>
        <i/>
        <sz val="9"/>
        <color rgb="FF555555"/>
        <rFont val="Noto Sans CJK SC"/>
        <family val="2"/>
      </rPr>
      <t>。</t>
    </r>
  </si>
  <si>
    <t>年齢帯</t>
  </si>
  <si>
    <r>
      <rPr>
        <b/>
        <sz val="10"/>
        <color rgb="FFFFFFFF"/>
        <rFont val="Noto Sans CJK SC"/>
        <family val="2"/>
      </rPr>
      <t>年齢</t>
    </r>
    <r>
      <rPr>
        <b/>
        <sz val="10"/>
        <color rgb="FFFFFFFF"/>
        <rFont val="Arial"/>
        <family val="2"/>
      </rPr>
      <t>min</t>
    </r>
  </si>
  <si>
    <r>
      <rPr>
        <b/>
        <sz val="10"/>
        <color rgb="FFFFFFFF"/>
        <rFont val="Noto Sans CJK SC"/>
        <family val="2"/>
      </rPr>
      <t>年齢</t>
    </r>
    <r>
      <rPr>
        <b/>
        <sz val="10"/>
        <color rgb="FFFFFFFF"/>
        <rFont val="Arial"/>
        <family val="2"/>
      </rPr>
      <t>max</t>
    </r>
  </si>
  <si>
    <t>成長率倍率</t>
  </si>
  <si>
    <r>
      <rPr>
        <b/>
        <sz val="10"/>
        <color rgb="FFFFFFFF"/>
        <rFont val="Noto Sans CJK SC"/>
        <family val="2"/>
      </rPr>
      <t>自律成長</t>
    </r>
    <r>
      <rPr>
        <b/>
        <sz val="10"/>
        <color rgb="FFFFFFFF"/>
        <rFont val="Arial"/>
        <family val="2"/>
      </rPr>
      <t>%/</t>
    </r>
    <r>
      <rPr>
        <b/>
        <sz val="10"/>
        <color rgb="FFFFFFFF"/>
        <rFont val="Noto Sans CJK SC"/>
        <family val="2"/>
      </rPr>
      <t>週</t>
    </r>
  </si>
  <si>
    <t>衰微週</t>
  </si>
  <si>
    <r>
      <rPr>
        <b/>
        <sz val="10"/>
        <color rgb="FFFFFFFF"/>
        <rFont val="Noto Sans CJK SC"/>
        <family val="2"/>
      </rPr>
      <t>衰微量</t>
    </r>
    <r>
      <rPr>
        <b/>
        <sz val="10"/>
        <color rgb="FFFFFFFF"/>
        <rFont val="Arial"/>
        <family val="2"/>
      </rPr>
      <t>min-max</t>
    </r>
  </si>
  <si>
    <t>治癒倍率</t>
  </si>
  <si>
    <t>成長期</t>
  </si>
  <si>
    <t>—</t>
  </si>
  <si>
    <t>全盛期</t>
  </si>
  <si>
    <t>円熟期</t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</si>
  <si>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週</t>
    </r>
  </si>
  <si>
    <t>1-2</t>
  </si>
  <si>
    <t>限界期</t>
  </si>
  <si>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週</t>
    </r>
    <r>
      <rPr>
        <sz val="10"/>
        <color rgb="FF000000"/>
        <rFont val="Arial"/>
        <family val="2"/>
      </rPr>
      <t>,25</t>
    </r>
    <r>
      <rPr>
        <sz val="10"/>
        <color rgb="FF000000"/>
        <rFont val="Noto Sans CJK SC"/>
        <family val="2"/>
      </rPr>
      <t>週</t>
    </r>
  </si>
  <si>
    <t>2-4</t>
  </si>
  <si>
    <r>
      <rPr>
        <i/>
        <sz val="9"/>
        <color rgb="FF555555"/>
        <rFont val="Noto Sans CJK SC"/>
        <family val="2"/>
      </rPr>
      <t>衰微対象</t>
    </r>
    <r>
      <rPr>
        <i/>
        <sz val="9"/>
        <color rgb="FF555555"/>
        <rFont val="Arial"/>
        <family val="2"/>
      </rPr>
      <t xml:space="preserve">: STR/AGI/END </t>
    </r>
    <r>
      <rPr>
        <i/>
        <sz val="9"/>
        <color rgb="FF555555"/>
        <rFont val="Noto Sans CJK SC"/>
        <family val="2"/>
      </rPr>
      <t>からランダム</t>
    </r>
    <r>
      <rPr>
        <i/>
        <sz val="9"/>
        <color rgb="FF555555"/>
        <rFont val="Arial"/>
        <family val="2"/>
      </rPr>
      <t>1</t>
    </r>
    <r>
      <rPr>
        <i/>
        <sz val="9"/>
        <color rgb="FF555555"/>
        <rFont val="Noto Sans CJK SC"/>
        <family val="2"/>
      </rPr>
      <t>〜</t>
    </r>
    <r>
      <rPr>
        <i/>
        <sz val="9"/>
        <color rgb="FF555555"/>
        <rFont val="Arial"/>
        <family val="2"/>
      </rPr>
      <t>2</t>
    </r>
    <r>
      <rPr>
        <i/>
        <sz val="9"/>
        <color rgb="FF555555"/>
        <rFont val="Noto Sans CJK SC"/>
        <family val="2"/>
      </rPr>
      <t>項目を恒久低下</t>
    </r>
  </si>
  <si>
    <r>
      <rPr>
        <i/>
        <sz val="9"/>
        <color rgb="FF555555"/>
        <rFont val="Noto Sans CJK SC"/>
        <family val="2"/>
      </rPr>
      <t>強制引退</t>
    </r>
    <r>
      <rPr>
        <i/>
        <sz val="9"/>
        <color rgb="FF555555"/>
        <rFont val="Arial"/>
        <family val="2"/>
      </rPr>
      <t>: 40</t>
    </r>
    <r>
      <rPr>
        <i/>
        <sz val="9"/>
        <color rgb="FF555555"/>
        <rFont val="Noto Sans CJK SC"/>
        <family val="2"/>
      </rPr>
      <t>歳の年の第</t>
    </r>
    <r>
      <rPr>
        <i/>
        <sz val="9"/>
        <color rgb="FF555555"/>
        <rFont val="Arial"/>
        <family val="2"/>
      </rPr>
      <t>48</t>
    </r>
    <r>
      <rPr>
        <i/>
        <sz val="9"/>
        <color rgb="FF555555"/>
        <rFont val="Noto Sans CJK SC"/>
        <family val="2"/>
      </rPr>
      <t>週決算で引退→顧問再任用可</t>
    </r>
    <r>
      <rPr>
        <i/>
        <sz val="9"/>
        <color rgb="FF555555"/>
        <rFont val="Arial"/>
        <family val="2"/>
      </rPr>
      <t>(03 §3.6)</t>
    </r>
  </si>
  <si>
    <r>
      <rPr>
        <b/>
        <sz val="10"/>
        <color rgb="FF2F4B7C"/>
        <rFont val="Noto Sans CJK SC"/>
        <family val="2"/>
      </rPr>
      <t>引退勧告</t>
    </r>
    <r>
      <rPr>
        <b/>
        <sz val="10"/>
        <color rgb="FF2F4B7C"/>
        <rFont val="Arial"/>
        <family val="2"/>
      </rPr>
      <t>(</t>
    </r>
    <r>
      <rPr>
        <b/>
        <sz val="10"/>
        <color rgb="FF2F4B7C"/>
        <rFont val="Noto Sans CJK SC"/>
        <family val="2"/>
      </rPr>
      <t>肩たたき</t>
    </r>
    <r>
      <rPr>
        <b/>
        <sz val="10"/>
        <color rgb="FF2F4B7C"/>
        <rFont val="Arial"/>
        <family val="2"/>
      </rPr>
      <t xml:space="preserve">) </t>
    </r>
    <r>
      <rPr>
        <b/>
        <sz val="10"/>
        <color rgb="FF2F4B7C"/>
        <rFont val="Noto Sans CJK SC"/>
        <family val="2"/>
      </rPr>
      <t>受諾率（限界期）</t>
    </r>
  </si>
  <si>
    <t>年齢</t>
  </si>
  <si>
    <r>
      <rPr>
        <b/>
        <sz val="10"/>
        <color rgb="FFFFFFFF"/>
        <rFont val="Noto Sans CJK SC"/>
        <family val="2"/>
      </rPr>
      <t>受諾率</t>
    </r>
    <r>
      <rPr>
        <b/>
        <sz val="10"/>
        <color rgb="FFFFFFFF"/>
        <rFont val="Arial"/>
        <family val="2"/>
      </rPr>
      <t>%</t>
    </r>
  </si>
  <si>
    <r>
      <rPr>
        <b/>
        <sz val="14"/>
        <color rgb="FFFFFFFF"/>
        <rFont val="Noto Sans CJK SC"/>
        <family val="2"/>
      </rPr>
      <t>満足度</t>
    </r>
    <r>
      <rPr>
        <b/>
        <sz val="14"/>
        <color rgb="FFFFFFFF"/>
        <rFont val="Arial"/>
        <family val="2"/>
      </rPr>
      <t>(Satisfaction)</t>
    </r>
    <r>
      <rPr>
        <b/>
        <sz val="14"/>
        <color rgb="FFFFFFFF"/>
        <rFont val="Noto Sans CJK SC"/>
        <family val="2"/>
      </rPr>
      <t>変動</t>
    </r>
  </si>
  <si>
    <r>
      <rPr>
        <i/>
        <sz val="9"/>
        <color rgb="FF555555"/>
        <rFont val="Noto Sans CJK SC"/>
        <family val="2"/>
      </rPr>
      <t>毎週決算での増減</t>
    </r>
    <r>
      <rPr>
        <i/>
        <sz val="9"/>
        <color rgb="FF555555"/>
        <rFont val="Arial"/>
        <family val="2"/>
      </rPr>
      <t>(03 §5)</t>
    </r>
    <r>
      <rPr>
        <i/>
        <sz val="9"/>
        <color rgb="FF555555"/>
        <rFont val="Noto Sans CJK SC"/>
        <family val="2"/>
      </rPr>
      <t>。満足度</t>
    </r>
    <r>
      <rPr>
        <i/>
        <sz val="9"/>
        <color rgb="FF555555"/>
        <rFont val="Arial"/>
        <family val="2"/>
      </rPr>
      <t>=</t>
    </r>
    <r>
      <rPr>
        <i/>
        <sz val="9"/>
        <color rgb="FF555555"/>
        <rFont val="Noto Sans CJK SC"/>
        <family val="2"/>
      </rPr>
      <t>長期の職務満足。戦闘士気</t>
    </r>
    <r>
      <rPr>
        <i/>
        <sz val="9"/>
        <color rgb="FF555555"/>
        <rFont val="Arial"/>
        <family val="2"/>
      </rPr>
      <t>Morale</t>
    </r>
    <r>
      <rPr>
        <i/>
        <sz val="9"/>
        <color rgb="FF555555"/>
        <rFont val="Noto Sans CJK SC"/>
        <family val="2"/>
      </rPr>
      <t>とは別。</t>
    </r>
  </si>
  <si>
    <t>条件</t>
  </si>
  <si>
    <t>変動</t>
  </si>
  <si>
    <r>
      <rPr>
        <b/>
        <sz val="10"/>
        <color rgb="FF2F4B7C"/>
        <rFont val="Noto Sans CJK SC"/>
        <family val="2"/>
      </rPr>
      <t>出場機会なし</t>
    </r>
    <r>
      <rPr>
        <b/>
        <sz val="10"/>
        <color rgb="FF2F4B7C"/>
        <rFont val="Arial"/>
        <family val="2"/>
      </rPr>
      <t>(22-27</t>
    </r>
    <r>
      <rPr>
        <b/>
        <sz val="10"/>
        <color rgb="FF2F4B7C"/>
        <rFont val="Noto Sans CJK SC"/>
        <family val="2"/>
      </rPr>
      <t>歳</t>
    </r>
    <r>
      <rPr>
        <b/>
        <sz val="10"/>
        <color rgb="FF2F4B7C"/>
        <rFont val="Arial"/>
        <family val="2"/>
      </rPr>
      <t>/4</t>
    </r>
    <r>
      <rPr>
        <b/>
        <sz val="10"/>
        <color rgb="FF2F4B7C"/>
        <rFont val="Noto Sans CJK SC"/>
        <family val="2"/>
      </rPr>
      <t>週連続</t>
    </r>
    <r>
      <rPr>
        <b/>
        <sz val="10"/>
        <color rgb="FF2F4B7C"/>
        <rFont val="Arial"/>
        <family val="2"/>
      </rPr>
      <t>)</t>
    </r>
  </si>
  <si>
    <t>対象年齢帯は加齢シートに準拠。毎週適用</t>
  </si>
  <si>
    <r>
      <rPr>
        <b/>
        <sz val="10"/>
        <color rgb="FF2F4B7C"/>
        <rFont val="Noto Sans CJK SC"/>
        <family val="2"/>
      </rPr>
      <t>賃金</t>
    </r>
    <r>
      <rPr>
        <b/>
        <sz val="10"/>
        <color rgb="FF2F4B7C"/>
        <rFont val="Arial"/>
        <family val="2"/>
      </rPr>
      <t>&lt;</t>
    </r>
    <r>
      <rPr>
        <b/>
        <sz val="10"/>
        <color rgb="FF2F4B7C"/>
        <rFont val="Noto Sans CJK SC"/>
        <family val="2"/>
      </rPr>
      <t>適正の</t>
    </r>
    <r>
      <rPr>
        <b/>
        <sz val="10"/>
        <color rgb="FF2F4B7C"/>
        <rFont val="Arial"/>
        <family val="2"/>
      </rPr>
      <t>80%</t>
    </r>
  </si>
  <si>
    <t>適正週給は経済シート参照。毎週適用</t>
  </si>
  <si>
    <r>
      <rPr>
        <b/>
        <sz val="10"/>
        <color rgb="FF2F4B7C"/>
        <rFont val="Noto Sans CJK SC"/>
        <family val="2"/>
      </rPr>
      <t>険悪</t>
    </r>
    <r>
      <rPr>
        <b/>
        <sz val="10"/>
        <color rgb="FF2F4B7C"/>
        <rFont val="Arial"/>
        <family val="2"/>
      </rPr>
      <t>(-40</t>
    </r>
    <r>
      <rPr>
        <b/>
        <sz val="10"/>
        <color rgb="FF2F4B7C"/>
        <rFont val="Noto Sans CJK SC"/>
        <family val="2"/>
      </rPr>
      <t>以下</t>
    </r>
    <r>
      <rPr>
        <b/>
        <sz val="10"/>
        <color rgb="FF2F4B7C"/>
        <rFont val="Arial"/>
        <family val="2"/>
      </rPr>
      <t>)</t>
    </r>
    <r>
      <rPr>
        <b/>
        <sz val="10"/>
        <color rgb="FF2F4B7C"/>
        <rFont val="Noto Sans CJK SC"/>
        <family val="2"/>
      </rPr>
      <t>と同パーティ出撃</t>
    </r>
  </si>
  <si>
    <r>
      <rPr>
        <sz val="10"/>
        <color rgb="FF000000"/>
        <rFont val="Noto Sans CJK SC"/>
        <family val="2"/>
      </rPr>
      <t>相性は疲労</t>
    </r>
    <r>
      <rPr>
        <sz val="10"/>
        <color rgb="FF000000"/>
        <rFont val="Arial"/>
        <family val="2"/>
      </rPr>
      <t>_</t>
    </r>
    <r>
      <rPr>
        <sz val="10"/>
        <color rgb="FF000000"/>
        <rFont val="Noto Sans CJK SC"/>
        <family val="2"/>
      </rPr>
      <t>相性</t>
    </r>
    <r>
      <rPr>
        <sz val="10"/>
        <color rgb="FF000000"/>
        <rFont val="Arial"/>
        <family val="2"/>
      </rPr>
      <t>_</t>
    </r>
    <r>
      <rPr>
        <sz val="10"/>
        <color rgb="FF000000"/>
        <rFont val="Noto Sans CJK SC"/>
        <family val="2"/>
      </rPr>
      <t>顧問シート参照</t>
    </r>
  </si>
  <si>
    <r>
      <rPr>
        <b/>
        <sz val="10"/>
        <color rgb="FF2F4B7C"/>
        <rFont val="Arial"/>
        <family val="2"/>
      </rPr>
      <t>B</t>
    </r>
    <r>
      <rPr>
        <b/>
        <sz val="10"/>
        <color rgb="FF2F4B7C"/>
        <rFont val="Noto Sans CJK SC"/>
        <family val="2"/>
      </rPr>
      <t>ランク以上クエスト達成</t>
    </r>
  </si>
  <si>
    <t>難関達成ボーナス</t>
  </si>
  <si>
    <t>同パーティのメンバー死亡</t>
  </si>
  <si>
    <t>一律。加えてトラウマ特性付与</t>
  </si>
  <si>
    <t>閾値・その他</t>
  </si>
  <si>
    <t>サボタージュ閾値</t>
  </si>
  <si>
    <t>これ未満で怠業傾向</t>
  </si>
  <si>
    <t>退団検討閾値</t>
  </si>
  <si>
    <r>
      <rPr>
        <sz val="10"/>
        <color rgb="FF000000"/>
        <rFont val="Noto Sans CJK SC"/>
        <family val="2"/>
      </rPr>
      <t>これ未満で昇給要求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移籍警告</t>
    </r>
  </si>
  <si>
    <t>退団までの猶予</t>
  </si>
  <si>
    <r>
      <rPr>
        <sz val="10"/>
        <color rgb="FF000000"/>
        <rFont val="Noto Sans CJK SC"/>
        <family val="2"/>
      </rPr>
      <t>警告後この週数内に対応しないと退団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週</t>
    </r>
    <r>
      <rPr>
        <sz val="10"/>
        <color rgb="FF000000"/>
        <rFont val="Arial"/>
        <family val="2"/>
      </rPr>
      <t>)</t>
    </r>
  </si>
  <si>
    <r>
      <rPr>
        <b/>
        <sz val="10"/>
        <color rgb="FF2F4B7C"/>
        <rFont val="Noto Sans CJK SC"/>
        <family val="2"/>
      </rPr>
      <t>死亡時トラウマ付与確率</t>
    </r>
    <r>
      <rPr>
        <b/>
        <sz val="10"/>
        <color rgb="FF2F4B7C"/>
        <rFont val="Arial"/>
        <family val="2"/>
      </rPr>
      <t>%</t>
    </r>
  </si>
  <si>
    <t>同パーティ死亡目撃時</t>
  </si>
  <si>
    <r>
      <rPr>
        <b/>
        <sz val="14"/>
        <color rgb="FFFFFFFF"/>
        <rFont val="Noto Sans CJK SC"/>
        <family val="2"/>
      </rPr>
      <t xml:space="preserve">施設 </t>
    </r>
    <r>
      <rPr>
        <b/>
        <sz val="14"/>
        <color rgb="FFFFFFFF"/>
        <rFont val="Arial"/>
        <family val="2"/>
      </rPr>
      <t>(Lv1</t>
    </r>
    <r>
      <rPr>
        <b/>
        <sz val="14"/>
        <color rgb="FFFFFFFF"/>
        <rFont val="Noto Sans CJK SC"/>
        <family val="2"/>
      </rPr>
      <t>〜</t>
    </r>
    <r>
      <rPr>
        <b/>
        <sz val="14"/>
        <color rgb="FFFFFFFF"/>
        <rFont val="Arial"/>
        <family val="2"/>
      </rPr>
      <t>5)</t>
    </r>
  </si>
  <si>
    <r>
      <rPr>
        <i/>
        <sz val="9"/>
        <color rgb="FF555555"/>
        <rFont val="Noto Sans CJK SC"/>
        <family val="2"/>
      </rPr>
      <t>改築費と効果。</t>
    </r>
    <r>
      <rPr>
        <i/>
        <sz val="9"/>
        <color rgb="FF555555"/>
        <rFont val="Arial"/>
        <family val="2"/>
      </rPr>
      <t>Lv1/3/5</t>
    </r>
    <r>
      <rPr>
        <i/>
        <sz val="9"/>
        <color rgb="FF555555"/>
        <rFont val="Noto Sans CJK SC"/>
        <family val="2"/>
      </rPr>
      <t xml:space="preserve">は </t>
    </r>
    <r>
      <rPr>
        <i/>
        <sz val="9"/>
        <color rgb="FF555555"/>
        <rFont val="Arial"/>
        <family val="2"/>
      </rPr>
      <t>v1.0</t>
    </r>
    <r>
      <rPr>
        <i/>
        <sz val="9"/>
        <color rgb="FF555555"/>
        <rFont val="Noto Sans CJK SC"/>
        <family val="2"/>
      </rPr>
      <t>、</t>
    </r>
    <r>
      <rPr>
        <i/>
        <sz val="9"/>
        <color rgb="FF555555"/>
        <rFont val="Arial"/>
        <family val="2"/>
      </rPr>
      <t>Lv2/4</t>
    </r>
    <r>
      <rPr>
        <i/>
        <sz val="9"/>
        <color rgb="FF555555"/>
        <rFont val="Noto Sans CJK SC"/>
        <family val="2"/>
      </rPr>
      <t>は中間補完</t>
    </r>
    <r>
      <rPr>
        <i/>
        <sz val="9"/>
        <color rgb="FF555555"/>
        <rFont val="Arial"/>
        <family val="2"/>
      </rPr>
      <t>(</t>
    </r>
    <r>
      <rPr>
        <i/>
        <sz val="9"/>
        <color rgb="FF555555"/>
        <rFont val="Noto Sans CJK SC"/>
        <family val="2"/>
      </rPr>
      <t>暫定</t>
    </r>
    <r>
      <rPr>
        <i/>
        <sz val="9"/>
        <color rgb="FF555555"/>
        <rFont val="Arial"/>
        <family val="2"/>
      </rPr>
      <t>)</t>
    </r>
    <r>
      <rPr>
        <i/>
        <sz val="9"/>
        <color rgb="FF555555"/>
        <rFont val="Noto Sans CJK SC"/>
        <family val="2"/>
      </rPr>
      <t>。</t>
    </r>
  </si>
  <si>
    <t>本部宿舎・医務室</t>
  </si>
  <si>
    <t>Lv</t>
  </si>
  <si>
    <t>保有枠</t>
  </si>
  <si>
    <t>治癒速度倍率</t>
  </si>
  <si>
    <r>
      <rPr>
        <b/>
        <sz val="10"/>
        <color rgb="FFFFFFFF"/>
        <rFont val="Noto Sans CJK SC"/>
        <family val="2"/>
      </rPr>
      <t>改築費</t>
    </r>
    <r>
      <rPr>
        <b/>
        <sz val="10"/>
        <color rgb="FFFFFFFF"/>
        <rFont val="Arial"/>
        <family val="2"/>
      </rPr>
      <t>(G)</t>
    </r>
  </si>
  <si>
    <t>初期</t>
  </si>
  <si>
    <t>訓練場・道場</t>
  </si>
  <si>
    <t>経験値倍率</t>
  </si>
  <si>
    <t>教官枠</t>
  </si>
  <si>
    <t>作戦資料室</t>
  </si>
  <si>
    <r>
      <rPr>
        <b/>
        <sz val="10"/>
        <color rgb="FFFFFFFF"/>
        <rFont val="Noto Sans CJK SC"/>
        <family val="2"/>
      </rPr>
      <t>勝率誤差</t>
    </r>
    <r>
      <rPr>
        <b/>
        <sz val="10"/>
        <color rgb="FFFFFFFF"/>
        <rFont val="Arial"/>
        <family val="2"/>
      </rPr>
      <t>±%</t>
    </r>
  </si>
  <si>
    <r>
      <rPr>
        <b/>
        <sz val="10"/>
        <color rgb="FFFFFFFF"/>
        <rFont val="Noto Sans CJK SC"/>
        <family val="2"/>
      </rPr>
      <t>不意打ち率</t>
    </r>
    <r>
      <rPr>
        <b/>
        <sz val="10"/>
        <color rgb="FFFFFFFF"/>
        <rFont val="Arial"/>
        <family val="2"/>
      </rPr>
      <t>%</t>
    </r>
  </si>
  <si>
    <t>ギルド酒場</t>
  </si>
  <si>
    <r>
      <rPr>
        <b/>
        <sz val="10"/>
        <color rgb="FFFFFFFF"/>
        <rFont val="Noto Sans CJK SC"/>
        <family val="2"/>
      </rPr>
      <t>満足度回復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Noto Sans CJK SC"/>
        <family val="2"/>
      </rPr>
      <t>週</t>
    </r>
  </si>
  <si>
    <t>売却益倍率</t>
  </si>
  <si>
    <t>ギルド格付け（名声）</t>
  </si>
  <si>
    <r>
      <rPr>
        <i/>
        <sz val="9"/>
        <color rgb="FF555555"/>
        <rFont val="Noto Sans CJK SC"/>
        <family val="2"/>
      </rPr>
      <t>名声の累積閾値でランクが上がる。</t>
    </r>
    <r>
      <rPr>
        <i/>
        <sz val="9"/>
        <color rgb="FF555555"/>
        <rFont val="Arial"/>
        <family val="2"/>
      </rPr>
      <t>S</t>
    </r>
    <r>
      <rPr>
        <i/>
        <sz val="9"/>
        <color rgb="FF555555"/>
        <rFont val="Noto Sans CJK SC"/>
        <family val="2"/>
      </rPr>
      <t>ランク到達</t>
    </r>
    <r>
      <rPr>
        <i/>
        <sz val="9"/>
        <color rgb="FF555555"/>
        <rFont val="Arial"/>
        <family val="2"/>
      </rPr>
      <t>=</t>
    </r>
    <r>
      <rPr>
        <i/>
        <sz val="9"/>
        <color rgb="FF555555"/>
        <rFont val="Noto Sans CJK SC"/>
        <family val="2"/>
      </rPr>
      <t>勝利</t>
    </r>
    <r>
      <rPr>
        <i/>
        <sz val="9"/>
        <color rgb="FF555555"/>
        <rFont val="Arial"/>
        <family val="2"/>
      </rPr>
      <t>(03 §8)</t>
    </r>
    <r>
      <rPr>
        <i/>
        <sz val="9"/>
        <color rgb="FF555555"/>
        <rFont val="Noto Sans CJK SC"/>
        <family val="2"/>
      </rPr>
      <t>。</t>
    </r>
  </si>
  <si>
    <r>
      <rPr>
        <b/>
        <sz val="10"/>
        <color rgb="FFFFFFFF"/>
        <rFont val="Noto Sans CJK SC"/>
        <family val="2"/>
      </rPr>
      <t>必要名声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累積</t>
    </r>
    <r>
      <rPr>
        <b/>
        <sz val="10"/>
        <color rgb="FFFFFFFF"/>
        <rFont val="Arial"/>
        <family val="2"/>
      </rPr>
      <t>)</t>
    </r>
  </si>
  <si>
    <t>助成金倍率</t>
  </si>
  <si>
    <r>
      <rPr>
        <b/>
        <sz val="10"/>
        <color rgb="FFFFFFFF"/>
        <rFont val="Noto Sans CJK SC"/>
        <family val="2"/>
      </rPr>
      <t>受注可能 最高</t>
    </r>
    <r>
      <rPr>
        <b/>
        <sz val="10"/>
        <color rgb="FFFFFFFF"/>
        <rFont val="Arial"/>
        <family val="2"/>
      </rPr>
      <t>Q</t>
    </r>
  </si>
  <si>
    <t>初期ランク</t>
  </si>
  <si>
    <t>F</t>
  </si>
  <si>
    <r>
      <rPr>
        <sz val="10"/>
        <color rgb="FF000000"/>
        <rFont val="Noto Sans CJK SC"/>
        <family val="2"/>
      </rPr>
      <t>勝利条件</t>
    </r>
    <r>
      <rPr>
        <sz val="10"/>
        <color rgb="FF000000"/>
        <rFont val="Arial"/>
        <family val="2"/>
      </rPr>
      <t>(15</t>
    </r>
    <r>
      <rPr>
        <sz val="10"/>
        <color rgb="FF000000"/>
        <rFont val="Noto Sans CJK SC"/>
        <family val="2"/>
      </rPr>
      <t>年目</t>
    </r>
    <r>
      <rPr>
        <sz val="10"/>
        <color rgb="FF000000"/>
        <rFont val="Arial"/>
        <family val="2"/>
      </rPr>
      <t>48</t>
    </r>
    <r>
      <rPr>
        <sz val="10"/>
        <color rgb="FF000000"/>
        <rFont val="Noto Sans CJK SC"/>
        <family val="2"/>
      </rPr>
      <t>週時点で到達</t>
    </r>
    <r>
      <rPr>
        <sz val="10"/>
        <color rgb="FF000000"/>
        <rFont val="Arial"/>
        <family val="2"/>
      </rPr>
      <t>)</t>
    </r>
  </si>
  <si>
    <t>名声の増減（イベント別）</t>
  </si>
  <si>
    <t>イベント</t>
  </si>
  <si>
    <t>名声変動</t>
  </si>
  <si>
    <r>
      <rPr>
        <b/>
        <sz val="10"/>
        <color rgb="FF2F4B7C"/>
        <rFont val="Arial"/>
        <family val="2"/>
      </rPr>
      <t>E</t>
    </r>
    <r>
      <rPr>
        <b/>
        <sz val="10"/>
        <color rgb="FF2F4B7C"/>
        <rFont val="Noto Sans CJK SC"/>
        <family val="2"/>
      </rPr>
      <t>達成</t>
    </r>
  </si>
  <si>
    <r>
      <rPr>
        <b/>
        <sz val="10"/>
        <color rgb="FF2F4B7C"/>
        <rFont val="Arial"/>
        <family val="2"/>
      </rPr>
      <t>D</t>
    </r>
    <r>
      <rPr>
        <b/>
        <sz val="10"/>
        <color rgb="FF2F4B7C"/>
        <rFont val="Noto Sans CJK SC"/>
        <family val="2"/>
      </rPr>
      <t>達成</t>
    </r>
  </si>
  <si>
    <r>
      <rPr>
        <b/>
        <sz val="10"/>
        <color rgb="FF2F4B7C"/>
        <rFont val="Arial"/>
        <family val="2"/>
      </rPr>
      <t>C</t>
    </r>
    <r>
      <rPr>
        <b/>
        <sz val="10"/>
        <color rgb="FF2F4B7C"/>
        <rFont val="Noto Sans CJK SC"/>
        <family val="2"/>
      </rPr>
      <t>達成</t>
    </r>
  </si>
  <si>
    <r>
      <rPr>
        <b/>
        <sz val="10"/>
        <color rgb="FF2F4B7C"/>
        <rFont val="Arial"/>
        <family val="2"/>
      </rPr>
      <t>B</t>
    </r>
    <r>
      <rPr>
        <b/>
        <sz val="10"/>
        <color rgb="FF2F4B7C"/>
        <rFont val="Noto Sans CJK SC"/>
        <family val="2"/>
      </rPr>
      <t>達成</t>
    </r>
  </si>
  <si>
    <r>
      <rPr>
        <b/>
        <sz val="10"/>
        <color rgb="FF2F4B7C"/>
        <rFont val="Arial"/>
        <family val="2"/>
      </rPr>
      <t>A</t>
    </r>
    <r>
      <rPr>
        <b/>
        <sz val="10"/>
        <color rgb="FF2F4B7C"/>
        <rFont val="Noto Sans CJK SC"/>
        <family val="2"/>
      </rPr>
      <t>達成</t>
    </r>
  </si>
  <si>
    <r>
      <rPr>
        <b/>
        <sz val="10"/>
        <color rgb="FF2F4B7C"/>
        <rFont val="Arial"/>
        <family val="2"/>
      </rPr>
      <t>S</t>
    </r>
    <r>
      <rPr>
        <b/>
        <sz val="10"/>
        <color rgb="FF2F4B7C"/>
        <rFont val="Noto Sans CJK SC"/>
        <family val="2"/>
      </rPr>
      <t>達成</t>
    </r>
  </si>
  <si>
    <t>クエスト失敗</t>
  </si>
  <si>
    <r>
      <rPr>
        <b/>
        <sz val="10"/>
        <color rgb="FF2F4B7C"/>
        <rFont val="Noto Sans CJK SC"/>
        <family val="2"/>
      </rPr>
      <t>冒険者ロスト</t>
    </r>
    <r>
      <rPr>
        <b/>
        <sz val="10"/>
        <color rgb="FF2F4B7C"/>
        <rFont val="Arial"/>
        <family val="2"/>
      </rPr>
      <t>(</t>
    </r>
    <r>
      <rPr>
        <b/>
        <sz val="10"/>
        <color rgb="FF2F4B7C"/>
        <rFont val="Noto Sans CJK SC"/>
        <family val="2"/>
      </rPr>
      <t>死亡</t>
    </r>
    <r>
      <rPr>
        <b/>
        <sz val="10"/>
        <color rgb="FF2F4B7C"/>
        <rFont val="Arial"/>
        <family val="2"/>
      </rPr>
      <t>)</t>
    </r>
  </si>
  <si>
    <t>冒険者退団</t>
  </si>
  <si>
    <t>疲労・相性・顧問</t>
  </si>
  <si>
    <r>
      <rPr>
        <i/>
        <sz val="9"/>
        <color rgb="FF555555"/>
        <rFont val="Noto Sans CJK SC"/>
        <family val="2"/>
      </rPr>
      <t>疲労回復</t>
    </r>
    <r>
      <rPr>
        <i/>
        <sz val="9"/>
        <color rgb="FF555555"/>
        <rFont val="Arial"/>
        <family val="2"/>
      </rPr>
      <t>(03 §3.5)</t>
    </r>
    <r>
      <rPr>
        <i/>
        <sz val="9"/>
        <color rgb="FF555555"/>
        <rFont val="Noto Sans CJK SC"/>
        <family val="2"/>
      </rPr>
      <t>、相性</t>
    </r>
    <r>
      <rPr>
        <i/>
        <sz val="9"/>
        <color rgb="FF555555"/>
        <rFont val="Arial"/>
        <family val="2"/>
      </rPr>
      <t>(03 §5.3)</t>
    </r>
    <r>
      <rPr>
        <i/>
        <sz val="9"/>
        <color rgb="FF555555"/>
        <rFont val="Noto Sans CJK SC"/>
        <family val="2"/>
      </rPr>
      <t>、顧問効果</t>
    </r>
    <r>
      <rPr>
        <i/>
        <sz val="9"/>
        <color rgb="FF555555"/>
        <rFont val="Arial"/>
        <family val="2"/>
      </rPr>
      <t>(03 §7)</t>
    </r>
    <r>
      <rPr>
        <i/>
        <sz val="9"/>
        <color rgb="FF555555"/>
        <rFont val="Noto Sans CJK SC"/>
        <family val="2"/>
      </rPr>
      <t>。</t>
    </r>
  </si>
  <si>
    <r>
      <rPr>
        <b/>
        <sz val="10"/>
        <color rgb="FF2F4B7C"/>
        <rFont val="Noto Sans CJK SC"/>
        <family val="2"/>
      </rPr>
      <t>疲労（</t>
    </r>
    <r>
      <rPr>
        <b/>
        <sz val="10"/>
        <color rgb="FF2F4B7C"/>
        <rFont val="Arial"/>
        <family val="2"/>
      </rPr>
      <t>Fatigue 0</t>
    </r>
    <r>
      <rPr>
        <b/>
        <sz val="10"/>
        <color rgb="FF2F4B7C"/>
        <rFont val="Noto Sans CJK SC"/>
        <family val="2"/>
      </rPr>
      <t>〜</t>
    </r>
    <r>
      <rPr>
        <b/>
        <sz val="10"/>
        <color rgb="FF2F4B7C"/>
        <rFont val="Arial"/>
        <family val="2"/>
      </rPr>
      <t>100</t>
    </r>
    <r>
      <rPr>
        <b/>
        <sz val="10"/>
        <color rgb="FF2F4B7C"/>
        <rFont val="Noto Sans CJK SC"/>
        <family val="2"/>
      </rPr>
      <t>）</t>
    </r>
  </si>
  <si>
    <t>過労閾値</t>
  </si>
  <si>
    <t>到達で出撃不可</t>
  </si>
  <si>
    <r>
      <rPr>
        <b/>
        <sz val="10"/>
        <color rgb="FF2F4B7C"/>
        <rFont val="Noto Sans CJK SC"/>
        <family val="2"/>
      </rPr>
      <t>待機回復</t>
    </r>
    <r>
      <rPr>
        <b/>
        <sz val="10"/>
        <color rgb="FF2F4B7C"/>
        <rFont val="Arial"/>
        <family val="2"/>
      </rPr>
      <t>/</t>
    </r>
    <r>
      <rPr>
        <b/>
        <sz val="10"/>
        <color rgb="FF2F4B7C"/>
        <rFont val="Noto Sans CJK SC"/>
        <family val="2"/>
      </rPr>
      <t>週</t>
    </r>
  </si>
  <si>
    <t>非出撃の週に回復。医務室治癒倍率を乗算</t>
  </si>
  <si>
    <r>
      <rPr>
        <b/>
        <sz val="10"/>
        <color rgb="FF2F4B7C"/>
        <rFont val="Noto Sans CJK SC"/>
        <family val="2"/>
      </rPr>
      <t xml:space="preserve">出撃加算 </t>
    </r>
    <r>
      <rPr>
        <b/>
        <sz val="10"/>
        <color rgb="FF2F4B7C"/>
        <rFont val="Arial"/>
        <family val="2"/>
      </rPr>
      <t>E</t>
    </r>
    <r>
      <rPr>
        <b/>
        <sz val="10"/>
        <color rgb="FF2F4B7C"/>
        <rFont val="Noto Sans CJK SC"/>
        <family val="2"/>
      </rPr>
      <t>ランク</t>
    </r>
  </si>
  <si>
    <t>クエストランク別の疲労蓄積</t>
  </si>
  <si>
    <r>
      <rPr>
        <b/>
        <sz val="10"/>
        <color rgb="FF2F4B7C"/>
        <rFont val="Noto Sans CJK SC"/>
        <family val="2"/>
      </rPr>
      <t xml:space="preserve">出撃加算 </t>
    </r>
    <r>
      <rPr>
        <b/>
        <sz val="10"/>
        <color rgb="FF2F4B7C"/>
        <rFont val="Arial"/>
        <family val="2"/>
      </rPr>
      <t>D</t>
    </r>
    <r>
      <rPr>
        <b/>
        <sz val="10"/>
        <color rgb="FF2F4B7C"/>
        <rFont val="Noto Sans CJK SC"/>
        <family val="2"/>
      </rPr>
      <t>ランク</t>
    </r>
  </si>
  <si>
    <r>
      <rPr>
        <b/>
        <sz val="10"/>
        <color rgb="FF2F4B7C"/>
        <rFont val="Noto Sans CJK SC"/>
        <family val="2"/>
      </rPr>
      <t xml:space="preserve">出撃加算 </t>
    </r>
    <r>
      <rPr>
        <b/>
        <sz val="10"/>
        <color rgb="FF2F4B7C"/>
        <rFont val="Arial"/>
        <family val="2"/>
      </rPr>
      <t>C</t>
    </r>
    <r>
      <rPr>
        <b/>
        <sz val="10"/>
        <color rgb="FF2F4B7C"/>
        <rFont val="Noto Sans CJK SC"/>
        <family val="2"/>
      </rPr>
      <t>ランク</t>
    </r>
  </si>
  <si>
    <r>
      <rPr>
        <b/>
        <sz val="10"/>
        <color rgb="FF2F4B7C"/>
        <rFont val="Noto Sans CJK SC"/>
        <family val="2"/>
      </rPr>
      <t xml:space="preserve">出撃加算 </t>
    </r>
    <r>
      <rPr>
        <b/>
        <sz val="10"/>
        <color rgb="FF2F4B7C"/>
        <rFont val="Arial"/>
        <family val="2"/>
      </rPr>
      <t>B</t>
    </r>
    <r>
      <rPr>
        <b/>
        <sz val="10"/>
        <color rgb="FF2F4B7C"/>
        <rFont val="Noto Sans CJK SC"/>
        <family val="2"/>
      </rPr>
      <t>ランク</t>
    </r>
  </si>
  <si>
    <r>
      <rPr>
        <b/>
        <sz val="10"/>
        <color rgb="FF2F4B7C"/>
        <rFont val="Noto Sans CJK SC"/>
        <family val="2"/>
      </rPr>
      <t xml:space="preserve">出撃加算 </t>
    </r>
    <r>
      <rPr>
        <b/>
        <sz val="10"/>
        <color rgb="FF2F4B7C"/>
        <rFont val="Arial"/>
        <family val="2"/>
      </rPr>
      <t>A</t>
    </r>
    <r>
      <rPr>
        <b/>
        <sz val="10"/>
        <color rgb="FF2F4B7C"/>
        <rFont val="Noto Sans CJK SC"/>
        <family val="2"/>
      </rPr>
      <t>ランク</t>
    </r>
  </si>
  <si>
    <r>
      <rPr>
        <b/>
        <sz val="10"/>
        <color rgb="FF2F4B7C"/>
        <rFont val="Noto Sans CJK SC"/>
        <family val="2"/>
      </rPr>
      <t xml:space="preserve">出撃加算 </t>
    </r>
    <r>
      <rPr>
        <b/>
        <sz val="10"/>
        <color rgb="FF2F4B7C"/>
        <rFont val="Arial"/>
        <family val="2"/>
      </rPr>
      <t>S</t>
    </r>
    <r>
      <rPr>
        <b/>
        <sz val="10"/>
        <color rgb="FF2F4B7C"/>
        <rFont val="Noto Sans CJK SC"/>
        <family val="2"/>
      </rPr>
      <t>ランク</t>
    </r>
  </si>
  <si>
    <r>
      <rPr>
        <b/>
        <sz val="10"/>
        <color rgb="FF2F4B7C"/>
        <rFont val="Noto Sans CJK SC"/>
        <family val="2"/>
      </rPr>
      <t xml:space="preserve">相性（ペアごと </t>
    </r>
    <r>
      <rPr>
        <b/>
        <sz val="10"/>
        <color rgb="FF2F4B7C"/>
        <rFont val="Arial"/>
        <family val="2"/>
      </rPr>
      <t>-100</t>
    </r>
    <r>
      <rPr>
        <b/>
        <sz val="10"/>
        <color rgb="FF2F4B7C"/>
        <rFont val="Noto Sans CJK SC"/>
        <family val="2"/>
      </rPr>
      <t>〜</t>
    </r>
    <r>
      <rPr>
        <b/>
        <sz val="10"/>
        <color rgb="FF2F4B7C"/>
        <rFont val="Arial"/>
        <family val="2"/>
      </rPr>
      <t>+100</t>
    </r>
    <r>
      <rPr>
        <b/>
        <sz val="10"/>
        <color rgb="FF2F4B7C"/>
        <rFont val="Noto Sans CJK SC"/>
        <family val="2"/>
      </rPr>
      <t>）</t>
    </r>
  </si>
  <si>
    <r>
      <rPr>
        <b/>
        <sz val="10"/>
        <color rgb="FF2F4B7C"/>
        <rFont val="Noto Sans CJK SC"/>
        <family val="2"/>
      </rPr>
      <t>初期生成 乱数レンジ</t>
    </r>
    <r>
      <rPr>
        <b/>
        <sz val="10"/>
        <color rgb="FF2F4B7C"/>
        <rFont val="Arial"/>
        <family val="2"/>
      </rPr>
      <t>±</t>
    </r>
  </si>
  <si>
    <r>
      <rPr>
        <sz val="10"/>
        <color rgb="FF000000"/>
        <rFont val="Noto Sans CJK SC"/>
        <family val="2"/>
      </rPr>
      <t xml:space="preserve">開始時 </t>
    </r>
    <r>
      <rPr>
        <sz val="10"/>
        <color rgb="FF000000"/>
        <rFont val="Arial"/>
        <family val="2"/>
      </rPr>
      <t>-20</t>
    </r>
    <r>
      <rPr>
        <sz val="10"/>
        <color rgb="FF000000"/>
        <rFont val="Noto Sans CJK SC"/>
        <family val="2"/>
      </rPr>
      <t>〜</t>
    </r>
    <r>
      <rPr>
        <sz val="10"/>
        <color rgb="FF000000"/>
        <rFont val="Arial"/>
        <family val="2"/>
      </rPr>
      <t xml:space="preserve">+20 </t>
    </r>
    <r>
      <rPr>
        <sz val="10"/>
        <color rgb="FF000000"/>
        <rFont val="Noto Sans CJK SC"/>
        <family val="2"/>
      </rPr>
      <t xml:space="preserve">の乱数 </t>
    </r>
    <r>
      <rPr>
        <sz val="10"/>
        <color rgb="FF000000"/>
        <rFont val="Arial"/>
        <family val="2"/>
      </rPr>
      <t xml:space="preserve">+ </t>
    </r>
    <r>
      <rPr>
        <sz val="10"/>
        <color rgb="FF000000"/>
        <rFont val="Noto Sans CJK SC"/>
        <family val="2"/>
      </rPr>
      <t>性格補正</t>
    </r>
  </si>
  <si>
    <t>険悪 閾値</t>
  </si>
  <si>
    <t>これ以下で同伴出撃に満足度ペナルティ</t>
  </si>
  <si>
    <t>盟友 閾値</t>
  </si>
  <si>
    <r>
      <rPr>
        <sz val="10"/>
        <color rgb="FF000000"/>
        <rFont val="Noto Sans CJK SC"/>
        <family val="2"/>
      </rPr>
      <t>これ以上で連携ボーナス</t>
    </r>
    <r>
      <rPr>
        <sz val="10"/>
        <color rgb="FF000000"/>
        <rFont val="Arial"/>
        <family val="2"/>
      </rPr>
      <t>(post-MVP)</t>
    </r>
  </si>
  <si>
    <t>同伴 成功時 変動</t>
  </si>
  <si>
    <t>同パーティで達成</t>
  </si>
  <si>
    <t>同伴 失敗時 変動</t>
  </si>
  <si>
    <t>同パーティで失敗</t>
  </si>
  <si>
    <t>死亡目撃 変動</t>
  </si>
  <si>
    <t>同パーティの死亡を経験</t>
  </si>
  <si>
    <r>
      <rPr>
        <b/>
        <sz val="10"/>
        <color rgb="FF2F4B7C"/>
        <rFont val="Noto Sans CJK SC"/>
        <family val="2"/>
      </rPr>
      <t>顧問（教官</t>
    </r>
    <r>
      <rPr>
        <b/>
        <sz val="10"/>
        <color rgb="FF2F4B7C"/>
        <rFont val="Arial"/>
        <family val="2"/>
      </rPr>
      <t>/</t>
    </r>
    <r>
      <rPr>
        <b/>
        <sz val="10"/>
        <color rgb="FF2F4B7C"/>
        <rFont val="Noto Sans CJK SC"/>
        <family val="2"/>
      </rPr>
      <t>スカウト</t>
    </r>
    <r>
      <rPr>
        <b/>
        <sz val="10"/>
        <color rgb="FF2F4B7C"/>
        <rFont val="Arial"/>
        <family val="2"/>
      </rPr>
      <t>/</t>
    </r>
    <r>
      <rPr>
        <b/>
        <sz val="10"/>
        <color rgb="FF2F4B7C"/>
        <rFont val="Noto Sans CJK SC"/>
        <family val="2"/>
      </rPr>
      <t>参謀）</t>
    </r>
  </si>
  <si>
    <t>教官伝授 基準ステータス</t>
  </si>
  <si>
    <t>教官の該当ステータスがこれを超える分で確率化</t>
  </si>
  <si>
    <r>
      <rPr>
        <b/>
        <sz val="10"/>
        <color rgb="FF2F4B7C"/>
        <rFont val="Noto Sans CJK SC"/>
        <family val="2"/>
      </rPr>
      <t>教官伝授 係数</t>
    </r>
    <r>
      <rPr>
        <b/>
        <sz val="10"/>
        <color rgb="FF2F4B7C"/>
        <rFont val="Arial"/>
        <family val="2"/>
      </rPr>
      <t>%/pt</t>
    </r>
  </si>
  <si>
    <r>
      <rPr>
        <sz val="10"/>
        <color rgb="FF000000"/>
        <rFont val="Noto Sans CJK SC"/>
        <family val="2"/>
      </rPr>
      <t xml:space="preserve">確率 </t>
    </r>
    <r>
      <rPr>
        <sz val="10"/>
        <color rgb="FF000000"/>
        <rFont val="Arial"/>
        <family val="2"/>
      </rPr>
      <t>= (</t>
    </r>
    <r>
      <rPr>
        <sz val="10"/>
        <color rgb="FF000000"/>
        <rFont val="Noto Sans CJK SC"/>
        <family val="2"/>
      </rPr>
      <t>教官ステ</t>
    </r>
    <r>
      <rPr>
        <sz val="10"/>
        <color rgb="FF000000"/>
        <rFont val="Arial"/>
        <family val="2"/>
      </rPr>
      <t>-</t>
    </r>
    <r>
      <rPr>
        <sz val="10"/>
        <color rgb="FF000000"/>
        <rFont val="Noto Sans CJK SC"/>
        <family val="2"/>
      </rPr>
      <t>基準</t>
    </r>
    <r>
      <rPr>
        <sz val="10"/>
        <color rgb="FF000000"/>
        <rFont val="Arial"/>
        <family val="2"/>
      </rPr>
      <t>)×</t>
    </r>
    <r>
      <rPr>
        <sz val="10"/>
        <color rgb="FF000000"/>
        <rFont val="Noto Sans CJK SC"/>
        <family val="2"/>
      </rPr>
      <t>係数。訓練週ごと</t>
    </r>
  </si>
  <si>
    <t>教官伝授 上昇量</t>
  </si>
  <si>
    <r>
      <rPr>
        <sz val="10"/>
        <color rgb="FF000000"/>
        <rFont val="Noto Sans CJK SC"/>
        <family val="2"/>
      </rPr>
      <t>成功時 若手の該当ステを</t>
    </r>
    <r>
      <rPr>
        <sz val="10"/>
        <color rgb="FF000000"/>
        <rFont val="Arial"/>
        <family val="2"/>
      </rPr>
      <t>+1(PA</t>
    </r>
    <r>
      <rPr>
        <sz val="10"/>
        <color rgb="FF000000"/>
        <rFont val="Noto Sans CJK SC"/>
        <family val="2"/>
      </rPr>
      <t>未満時のみ</t>
    </r>
    <r>
      <rPr>
        <sz val="10"/>
        <color rgb="FF000000"/>
        <rFont val="Arial"/>
        <family val="2"/>
      </rPr>
      <t>)</t>
    </r>
  </si>
  <si>
    <r>
      <rPr>
        <b/>
        <sz val="10"/>
        <color rgb="FF2F4B7C"/>
        <rFont val="Noto Sans CJK SC"/>
        <family val="2"/>
      </rPr>
      <t>スカウト 有望新人応募率</t>
    </r>
    <r>
      <rPr>
        <b/>
        <sz val="10"/>
        <color rgb="FF2F4B7C"/>
        <rFont val="Arial"/>
        <family val="2"/>
      </rPr>
      <t>+%</t>
    </r>
  </si>
  <si>
    <r>
      <rPr>
        <sz val="10"/>
        <color rgb="FF000000"/>
        <rFont val="Noto Sans CJK SC"/>
        <family val="2"/>
      </rPr>
      <t>総合</t>
    </r>
    <r>
      <rPr>
        <sz val="10"/>
        <color rgb="FF000000"/>
        <rFont val="Arial"/>
        <family val="2"/>
      </rPr>
      <t>PA75</t>
    </r>
    <r>
      <rPr>
        <sz val="10"/>
        <color rgb="FF000000"/>
        <rFont val="Noto Sans CJK SC"/>
        <family val="2"/>
      </rPr>
      <t>以上の応募率底上げ</t>
    </r>
  </si>
  <si>
    <r>
      <rPr>
        <b/>
        <sz val="10"/>
        <color rgb="FF2F4B7C"/>
        <rFont val="Noto Sans CJK SC"/>
        <family val="2"/>
      </rPr>
      <t>参謀 事故率低減</t>
    </r>
    <r>
      <rPr>
        <b/>
        <sz val="10"/>
        <color rgb="FF2F4B7C"/>
        <rFont val="Arial"/>
        <family val="2"/>
      </rPr>
      <t>%</t>
    </r>
  </si>
  <si>
    <r>
      <rPr>
        <sz val="10"/>
        <color rgb="FF000000"/>
        <rFont val="Noto Sans CJK SC"/>
        <family val="2"/>
      </rPr>
      <t>担当ダンジョン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種でのダウン確率低減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</si>
</sst>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b/>
      <sz val="10"/>
      <color rgb="FF2F4B7C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2"/>
    </font>
    <font>
      <i/>
      <sz val="9"/>
      <color rgb="FF555555"/>
      <name val="Noto Sans CJK SC"/>
      <family val="2"/>
    </font>
    <font>
      <b/>
      <sz val="10"/>
      <color rgb="FFFFFFFF"/>
      <name val="Noto Sans CJK SC"/>
      <family val="2"/>
    </font>
    <font>
      <sz val="10"/>
      <color rgb="FF0000FF"/>
      <name val="Arial"/>
      <family val="2"/>
    </font>
    <font>
      <b/>
      <sz val="10"/>
      <color rgb="FF2F4B7C"/>
      <name val="Arial"/>
      <family val="2"/>
    </font>
    <font>
      <b/>
      <sz val="10"/>
      <color rgb="FFFFFFFF"/>
      <name val="Arial"/>
      <family val="2"/>
    </font>
    <font>
      <i/>
      <sz val="9"/>
      <color rgb="FF555555"/>
      <name val="Arial"/>
      <family val="2"/>
    </font>
    <font>
      <sz val="10"/>
      <color rgb="FF0000FF"/>
      <name val="Noto Sans CJK SC"/>
      <family val="2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2F4B7C"/>
        <bgColor rgb="FF555555"/>
      </patternFill>
    </fill>
    <fill>
      <patternFill patternType="solid">
        <fgColor rgb="FF4C72B0"/>
        <bgColor rgb="FF3366FF"/>
      </patternFill>
    </fill>
    <fill>
      <patternFill patternType="solid">
        <fgColor rgb="FFFFF7DB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/>
    <xf numFmtId="0" fontId="10" fillId="3" borderId="1" xfId="0" applyFont="1" applyFill="1" applyBorder="1" applyAlignment="1">
      <alignment horizontal="center" vertical="center"/>
    </xf>
    <xf numFmtId="0" fontId="11" fillId="0" borderId="0" xfId="0" applyFont="1"/>
    <xf numFmtId="0" fontId="9" fillId="0" borderId="1" xfId="0" applyFont="1" applyBorder="1" applyAlignment="1">
      <alignment horizontal="left" vertical="center" wrapText="1"/>
    </xf>
    <xf numFmtId="0" fontId="6" fillId="0" borderId="0" xfId="0" applyFont="1"/>
    <xf numFmtId="0" fontId="12" fillId="4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D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C72B0"/>
      <rgbColor rgb="FF969696"/>
      <rgbColor rgb="FF003366"/>
      <rgbColor rgb="FF339966"/>
      <rgbColor rgb="FF003300"/>
      <rgbColor rgb="FF333300"/>
      <rgbColor rgb="FF993300"/>
      <rgbColor rgb="FF993366"/>
      <rgbColor rgb="FF2F4B7C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zoomScaleNormal="100" workbookViewId="0">
      <selection activeCell="B27" sqref="B27"/>
    </sheetView>
  </sheetViews>
  <sheetFormatPr defaultColWidth="8.7109375" defaultRowHeight="15"/>
  <cols>
    <col min="1" max="1" width="22" customWidth="1"/>
    <col min="2" max="2" width="80" customWidth="1"/>
  </cols>
  <sheetData>
    <row r="1" spans="1:2" ht="25.5" customHeight="1">
      <c r="A1" s="1" t="s">
        <v>0</v>
      </c>
    </row>
    <row r="3" spans="1:2" ht="21.75" customHeight="1">
      <c r="A3" s="2" t="s">
        <v>1</v>
      </c>
      <c r="B3" s="3" t="s">
        <v>2</v>
      </c>
    </row>
    <row r="4" spans="1:2" ht="21.75" customHeight="1">
      <c r="A4" s="2"/>
      <c r="B4" s="3" t="s">
        <v>3</v>
      </c>
    </row>
    <row r="5" spans="1:2" ht="21.75" customHeight="1">
      <c r="A5" s="2" t="s">
        <v>4</v>
      </c>
      <c r="B5" s="3" t="s">
        <v>5</v>
      </c>
    </row>
    <row r="6" spans="1:2" ht="21.75" customHeight="1">
      <c r="A6" s="2" t="s">
        <v>6</v>
      </c>
      <c r="B6" s="3" t="s">
        <v>7</v>
      </c>
    </row>
    <row r="7" spans="1:2" ht="21.75" customHeight="1">
      <c r="A7" s="2" t="s">
        <v>8</v>
      </c>
      <c r="B7" s="3" t="s">
        <v>9</v>
      </c>
    </row>
    <row r="8" spans="1:2" ht="21.75" customHeight="1">
      <c r="A8" s="2" t="s">
        <v>10</v>
      </c>
      <c r="B8" s="3" t="s">
        <v>11</v>
      </c>
    </row>
    <row r="9" spans="1:2" ht="21.75" customHeight="1">
      <c r="A9" s="2" t="s">
        <v>10</v>
      </c>
      <c r="B9" s="3" t="s">
        <v>12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/>
  </sheetViews>
  <sheetFormatPr defaultColWidth="8.7109375" defaultRowHeight="15"/>
  <cols>
    <col min="1" max="1" width="26" customWidth="1"/>
    <col min="2" max="5" width="16" customWidth="1"/>
    <col min="6" max="6" width="40" customWidth="1"/>
  </cols>
  <sheetData>
    <row r="1" spans="1:5" ht="24" customHeight="1">
      <c r="A1" s="1" t="s">
        <v>13</v>
      </c>
    </row>
    <row r="2" spans="1:5" ht="30" customHeight="1">
      <c r="A2" s="4" t="s">
        <v>14</v>
      </c>
    </row>
    <row r="3" spans="1:5">
      <c r="A3" s="5" t="s">
        <v>15</v>
      </c>
      <c r="B3" s="5" t="s">
        <v>16</v>
      </c>
      <c r="C3" s="5" t="s">
        <v>17</v>
      </c>
      <c r="D3" s="5"/>
      <c r="E3" s="5" t="s">
        <v>18</v>
      </c>
    </row>
    <row r="4" spans="1:5">
      <c r="A4" s="6" t="s">
        <v>19</v>
      </c>
      <c r="B4" s="7">
        <v>3000</v>
      </c>
      <c r="C4" s="8" t="s">
        <v>20</v>
      </c>
      <c r="D4" s="9"/>
      <c r="E4" s="10" t="s">
        <v>21</v>
      </c>
    </row>
    <row r="5" spans="1:5" ht="51">
      <c r="A5" s="6" t="s">
        <v>22</v>
      </c>
      <c r="B5" s="7">
        <v>400</v>
      </c>
      <c r="C5" s="8" t="s">
        <v>23</v>
      </c>
      <c r="D5" s="10"/>
      <c r="E5" s="10" t="s">
        <v>24</v>
      </c>
    </row>
    <row r="6" spans="1:5" ht="38.25">
      <c r="A6" s="6" t="s">
        <v>25</v>
      </c>
      <c r="B6" s="7">
        <v>4</v>
      </c>
      <c r="C6" s="11" t="s">
        <v>26</v>
      </c>
      <c r="D6" s="10"/>
      <c r="E6" s="10" t="s">
        <v>27</v>
      </c>
    </row>
    <row r="7" spans="1:5" ht="25.5">
      <c r="A7" s="6" t="s">
        <v>28</v>
      </c>
      <c r="B7" s="7">
        <v>12</v>
      </c>
      <c r="C7" s="8" t="s">
        <v>29</v>
      </c>
      <c r="D7" s="10"/>
      <c r="E7" s="10" t="s">
        <v>30</v>
      </c>
    </row>
    <row r="8" spans="1:5" ht="25.5">
      <c r="A8" s="6" t="s">
        <v>31</v>
      </c>
      <c r="B8" s="7">
        <v>1.5</v>
      </c>
      <c r="C8" s="8" t="s">
        <v>32</v>
      </c>
      <c r="D8" s="10"/>
      <c r="E8" s="10" t="s">
        <v>33</v>
      </c>
    </row>
    <row r="9" spans="1:5">
      <c r="A9" s="6" t="s">
        <v>34</v>
      </c>
      <c r="B9" s="7">
        <v>2</v>
      </c>
      <c r="C9" s="8" t="s">
        <v>32</v>
      </c>
      <c r="D9" s="10"/>
      <c r="E9" s="10"/>
    </row>
    <row r="11" spans="1:5">
      <c r="A11" s="12" t="s">
        <v>35</v>
      </c>
    </row>
    <row r="12" spans="1:5">
      <c r="A12" s="5" t="s">
        <v>36</v>
      </c>
      <c r="B12" s="5" t="s">
        <v>37</v>
      </c>
      <c r="C12" s="5"/>
      <c r="D12" s="5"/>
      <c r="E12" s="5" t="s">
        <v>18</v>
      </c>
    </row>
    <row r="13" spans="1:5" ht="38.25">
      <c r="A13" s="8" t="s">
        <v>38</v>
      </c>
      <c r="B13" s="7">
        <v>20</v>
      </c>
      <c r="C13" s="10"/>
      <c r="D13" s="10"/>
      <c r="E13" s="10" t="s">
        <v>39</v>
      </c>
    </row>
    <row r="14" spans="1:5">
      <c r="A14" s="8" t="s">
        <v>40</v>
      </c>
      <c r="B14" s="7">
        <v>35</v>
      </c>
      <c r="C14" s="10"/>
      <c r="D14" s="10"/>
      <c r="E14" s="10"/>
    </row>
    <row r="15" spans="1:5">
      <c r="A15" s="8" t="s">
        <v>41</v>
      </c>
      <c r="B15" s="7">
        <v>55</v>
      </c>
      <c r="C15" s="10"/>
      <c r="D15" s="10"/>
      <c r="E15" s="10"/>
    </row>
    <row r="16" spans="1:5">
      <c r="A16" s="8" t="s">
        <v>42</v>
      </c>
      <c r="B16" s="7">
        <v>80</v>
      </c>
      <c r="C16" s="10"/>
      <c r="D16" s="10"/>
      <c r="E16" s="10"/>
    </row>
    <row r="17" spans="1:5">
      <c r="A17" s="8" t="s">
        <v>43</v>
      </c>
      <c r="B17" s="7">
        <v>120</v>
      </c>
      <c r="C17" s="10"/>
      <c r="D17" s="10"/>
      <c r="E17" s="10"/>
    </row>
    <row r="18" spans="1:5">
      <c r="A18" s="8" t="s">
        <v>44</v>
      </c>
      <c r="B18" s="7">
        <v>180</v>
      </c>
      <c r="C18" s="10"/>
      <c r="D18" s="10"/>
      <c r="E18" s="10"/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zoomScaleNormal="100" workbookViewId="0"/>
  </sheetViews>
  <sheetFormatPr defaultColWidth="8.7109375" defaultRowHeight="15"/>
  <cols>
    <col min="1" max="1" width="10" customWidth="1"/>
    <col min="2" max="7" width="12" customWidth="1"/>
    <col min="8" max="8" width="10" customWidth="1"/>
    <col min="9" max="9" width="12" customWidth="1"/>
    <col min="10" max="10" width="16" customWidth="1"/>
    <col min="11" max="11" width="20" customWidth="1"/>
  </cols>
  <sheetData>
    <row r="1" spans="1:11" ht="24" customHeight="1">
      <c r="A1" s="1" t="s">
        <v>45</v>
      </c>
    </row>
    <row r="2" spans="1:11" ht="30" customHeight="1">
      <c r="A2" s="4" t="s">
        <v>46</v>
      </c>
    </row>
    <row r="3" spans="1:11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55</v>
      </c>
      <c r="J3" s="5" t="s">
        <v>56</v>
      </c>
      <c r="K3" s="13" t="s">
        <v>57</v>
      </c>
    </row>
    <row r="4" spans="1:11">
      <c r="A4" s="8" t="s">
        <v>38</v>
      </c>
      <c r="B4" s="7">
        <v>5</v>
      </c>
      <c r="C4" s="7">
        <v>15</v>
      </c>
      <c r="D4" s="7">
        <v>5</v>
      </c>
      <c r="E4" s="7">
        <v>15</v>
      </c>
      <c r="F4" s="7">
        <v>60</v>
      </c>
      <c r="G4" s="7">
        <v>120</v>
      </c>
      <c r="H4" s="7">
        <v>3</v>
      </c>
      <c r="I4" s="7">
        <v>2</v>
      </c>
      <c r="J4" s="7">
        <v>10</v>
      </c>
      <c r="K4" s="11">
        <f>((B4+C4)/2)*戦闘!$B$10</f>
        <v>30</v>
      </c>
    </row>
    <row r="5" spans="1:11">
      <c r="A5" s="8" t="s">
        <v>40</v>
      </c>
      <c r="B5" s="7">
        <v>15</v>
      </c>
      <c r="C5" s="7">
        <v>28</v>
      </c>
      <c r="D5" s="7">
        <v>12</v>
      </c>
      <c r="E5" s="7">
        <v>25</v>
      </c>
      <c r="F5" s="7">
        <v>120</v>
      </c>
      <c r="G5" s="7">
        <v>250</v>
      </c>
      <c r="H5" s="7">
        <v>3</v>
      </c>
      <c r="I5" s="7">
        <v>2</v>
      </c>
      <c r="J5" s="7">
        <v>11</v>
      </c>
      <c r="K5" s="11">
        <f>((B5+C5)/2)*戦闘!$B$10</f>
        <v>64.5</v>
      </c>
    </row>
    <row r="6" spans="1:11">
      <c r="A6" s="8" t="s">
        <v>41</v>
      </c>
      <c r="B6" s="7">
        <v>28</v>
      </c>
      <c r="C6" s="7">
        <v>42</v>
      </c>
      <c r="D6" s="7">
        <v>25</v>
      </c>
      <c r="E6" s="7">
        <v>40</v>
      </c>
      <c r="F6" s="7">
        <v>250</v>
      </c>
      <c r="G6" s="7">
        <v>450</v>
      </c>
      <c r="H6" s="7">
        <v>4</v>
      </c>
      <c r="I6" s="7">
        <v>3</v>
      </c>
      <c r="J6" s="7">
        <v>12</v>
      </c>
      <c r="K6" s="11">
        <f>((B6+C6)/2)*戦闘!$B$10</f>
        <v>105</v>
      </c>
    </row>
    <row r="7" spans="1:11">
      <c r="A7" s="8" t="s">
        <v>42</v>
      </c>
      <c r="B7" s="7">
        <v>42</v>
      </c>
      <c r="C7" s="7">
        <v>58</v>
      </c>
      <c r="D7" s="7">
        <v>40</v>
      </c>
      <c r="E7" s="7">
        <v>55</v>
      </c>
      <c r="F7" s="7">
        <v>450</v>
      </c>
      <c r="G7" s="7">
        <v>800</v>
      </c>
      <c r="H7" s="7">
        <v>4</v>
      </c>
      <c r="I7" s="7">
        <v>4</v>
      </c>
      <c r="J7" s="7">
        <v>13</v>
      </c>
      <c r="K7" s="11">
        <f>((B7+C7)/2)*戦闘!$B$10</f>
        <v>150</v>
      </c>
    </row>
    <row r="8" spans="1:11">
      <c r="A8" s="8" t="s">
        <v>43</v>
      </c>
      <c r="B8" s="7">
        <v>58</v>
      </c>
      <c r="C8" s="7">
        <v>78</v>
      </c>
      <c r="D8" s="7">
        <v>55</v>
      </c>
      <c r="E8" s="7">
        <v>72</v>
      </c>
      <c r="F8" s="7">
        <v>800</v>
      </c>
      <c r="G8" s="7">
        <v>1500</v>
      </c>
      <c r="H8" s="7">
        <v>5</v>
      </c>
      <c r="I8" s="7">
        <v>4</v>
      </c>
      <c r="J8" s="7">
        <v>14</v>
      </c>
      <c r="K8" s="11">
        <f>((B8+C8)/2)*戦闘!$B$10</f>
        <v>204</v>
      </c>
    </row>
    <row r="9" spans="1:11">
      <c r="A9" s="8" t="s">
        <v>44</v>
      </c>
      <c r="B9" s="7">
        <v>78</v>
      </c>
      <c r="C9" s="7">
        <v>100</v>
      </c>
      <c r="D9" s="7">
        <v>72</v>
      </c>
      <c r="E9" s="7">
        <v>95</v>
      </c>
      <c r="F9" s="7">
        <v>1500</v>
      </c>
      <c r="G9" s="7">
        <v>3000</v>
      </c>
      <c r="H9" s="7">
        <v>6</v>
      </c>
      <c r="I9" s="7">
        <v>5</v>
      </c>
      <c r="J9" s="7">
        <v>15</v>
      </c>
      <c r="K9" s="11">
        <f>((B9+C9)/2)*戦闘!$B$10</f>
        <v>267</v>
      </c>
    </row>
    <row r="11" spans="1:11">
      <c r="A11" s="14" t="s">
        <v>58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5"/>
  <sheetViews>
    <sheetView zoomScaleNormal="100" workbookViewId="0"/>
  </sheetViews>
  <sheetFormatPr defaultColWidth="8.7109375" defaultRowHeight="15"/>
  <cols>
    <col min="1" max="1" width="24" customWidth="1"/>
    <col min="2" max="6" width="14" customWidth="1"/>
    <col min="7" max="7" width="42" customWidth="1"/>
  </cols>
  <sheetData>
    <row r="1" spans="1:7" ht="24" customHeight="1">
      <c r="A1" s="1" t="s">
        <v>59</v>
      </c>
    </row>
    <row r="2" spans="1:7" ht="30" customHeight="1">
      <c r="A2" s="4" t="s">
        <v>60</v>
      </c>
    </row>
    <row r="3" spans="1:7">
      <c r="A3" s="12" t="s">
        <v>61</v>
      </c>
    </row>
    <row r="4" spans="1:7">
      <c r="A4" s="5" t="s">
        <v>62</v>
      </c>
      <c r="B4" s="5" t="s">
        <v>16</v>
      </c>
      <c r="C4" s="5"/>
      <c r="D4" s="5"/>
      <c r="E4" s="5"/>
      <c r="F4" s="5"/>
      <c r="G4" s="5" t="s">
        <v>63</v>
      </c>
    </row>
    <row r="5" spans="1:7">
      <c r="A5" s="15" t="s">
        <v>64</v>
      </c>
      <c r="B5" s="7">
        <v>0.8</v>
      </c>
      <c r="G5" s="10" t="s">
        <v>65</v>
      </c>
    </row>
    <row r="6" spans="1:7">
      <c r="A6" s="15" t="s">
        <v>66</v>
      </c>
      <c r="B6" s="7">
        <v>0.5</v>
      </c>
      <c r="G6" s="10" t="s">
        <v>67</v>
      </c>
    </row>
    <row r="7" spans="1:7">
      <c r="A7" s="15" t="s">
        <v>68</v>
      </c>
      <c r="B7" s="7">
        <v>0.6</v>
      </c>
      <c r="G7" s="10" t="s">
        <v>69</v>
      </c>
    </row>
    <row r="8" spans="1:7">
      <c r="A8" s="15" t="s">
        <v>70</v>
      </c>
      <c r="B8" s="7">
        <v>0.8</v>
      </c>
      <c r="G8" s="10" t="s">
        <v>71</v>
      </c>
    </row>
    <row r="9" spans="1:7">
      <c r="A9" s="15" t="s">
        <v>72</v>
      </c>
      <c r="B9" s="7">
        <v>0.4</v>
      </c>
      <c r="G9" s="10" t="s">
        <v>73</v>
      </c>
    </row>
    <row r="10" spans="1:7">
      <c r="A10" s="6" t="s">
        <v>74</v>
      </c>
      <c r="B10" s="7">
        <v>3</v>
      </c>
      <c r="G10" s="9" t="s">
        <v>75</v>
      </c>
    </row>
    <row r="12" spans="1:7">
      <c r="A12" s="12" t="s">
        <v>76</v>
      </c>
    </row>
    <row r="13" spans="1:7">
      <c r="A13" s="5" t="s">
        <v>77</v>
      </c>
      <c r="B13" s="5" t="s">
        <v>78</v>
      </c>
      <c r="C13" s="5" t="s">
        <v>79</v>
      </c>
      <c r="D13" s="5"/>
      <c r="E13" s="5"/>
      <c r="F13" s="5"/>
      <c r="G13" s="5" t="s">
        <v>18</v>
      </c>
    </row>
    <row r="14" spans="1:7">
      <c r="A14" s="8" t="s">
        <v>80</v>
      </c>
      <c r="B14" s="7">
        <v>1.2</v>
      </c>
      <c r="C14" s="7">
        <v>0.6</v>
      </c>
      <c r="G14" s="10" t="s">
        <v>81</v>
      </c>
    </row>
    <row r="15" spans="1:7">
      <c r="A15" s="8" t="s">
        <v>82</v>
      </c>
      <c r="B15" s="7">
        <v>1</v>
      </c>
      <c r="C15" s="7">
        <v>0.9</v>
      </c>
      <c r="G15" s="10" t="s">
        <v>83</v>
      </c>
    </row>
    <row r="16" spans="1:7">
      <c r="A16" s="8" t="s">
        <v>84</v>
      </c>
      <c r="B16" s="7">
        <v>0.5</v>
      </c>
      <c r="C16" s="7">
        <v>1.3</v>
      </c>
      <c r="G16" s="10" t="s">
        <v>85</v>
      </c>
    </row>
    <row r="17" spans="1:7">
      <c r="A17" s="8" t="s">
        <v>86</v>
      </c>
      <c r="B17" s="7">
        <v>0.7</v>
      </c>
      <c r="C17" s="7">
        <v>1.1000000000000001</v>
      </c>
      <c r="G17" s="10" t="s">
        <v>87</v>
      </c>
    </row>
    <row r="19" spans="1:7">
      <c r="A19" s="12" t="s">
        <v>88</v>
      </c>
    </row>
    <row r="20" spans="1:7">
      <c r="A20" s="5" t="s">
        <v>89</v>
      </c>
      <c r="B20" s="13" t="s">
        <v>90</v>
      </c>
      <c r="C20" s="13" t="s">
        <v>91</v>
      </c>
      <c r="D20" s="13" t="s">
        <v>92</v>
      </c>
      <c r="E20" s="5" t="s">
        <v>93</v>
      </c>
      <c r="F20" s="5"/>
      <c r="G20" s="5" t="s">
        <v>18</v>
      </c>
    </row>
    <row r="21" spans="1:7">
      <c r="A21" s="11" t="s">
        <v>94</v>
      </c>
      <c r="B21" s="7">
        <v>1.8</v>
      </c>
      <c r="C21" s="7">
        <v>5</v>
      </c>
      <c r="D21" s="7">
        <v>15</v>
      </c>
      <c r="E21" s="7">
        <v>0</v>
      </c>
      <c r="G21" s="10" t="s">
        <v>95</v>
      </c>
    </row>
    <row r="22" spans="1:7">
      <c r="A22" s="11" t="s">
        <v>96</v>
      </c>
      <c r="B22" s="7">
        <v>1</v>
      </c>
      <c r="C22" s="7">
        <v>20</v>
      </c>
      <c r="D22" s="7">
        <v>45</v>
      </c>
      <c r="E22" s="7">
        <v>0</v>
      </c>
      <c r="G22" s="10" t="s">
        <v>97</v>
      </c>
    </row>
    <row r="23" spans="1:7">
      <c r="A23" s="11" t="s">
        <v>98</v>
      </c>
      <c r="B23" s="7">
        <v>0.6</v>
      </c>
      <c r="C23" s="7">
        <v>40</v>
      </c>
      <c r="D23" s="7">
        <v>70</v>
      </c>
      <c r="E23" s="7">
        <v>25</v>
      </c>
      <c r="G23" s="10" t="s">
        <v>99</v>
      </c>
    </row>
    <row r="24" spans="1:7">
      <c r="A24" s="11" t="s">
        <v>100</v>
      </c>
      <c r="B24" s="7">
        <v>0</v>
      </c>
      <c r="C24" s="7">
        <v>100</v>
      </c>
      <c r="D24" s="7">
        <v>100</v>
      </c>
      <c r="E24" s="7">
        <v>60</v>
      </c>
      <c r="G24" s="10" t="s">
        <v>101</v>
      </c>
    </row>
    <row r="26" spans="1:7">
      <c r="A26" s="12" t="s">
        <v>102</v>
      </c>
    </row>
    <row r="27" spans="1:7">
      <c r="A27" s="5" t="s">
        <v>15</v>
      </c>
      <c r="B27" s="5" t="s">
        <v>16</v>
      </c>
      <c r="C27" s="5"/>
      <c r="D27" s="5"/>
      <c r="E27" s="5"/>
      <c r="F27" s="5"/>
      <c r="G27" s="5" t="s">
        <v>63</v>
      </c>
    </row>
    <row r="28" spans="1:7">
      <c r="A28" s="6" t="s">
        <v>103</v>
      </c>
      <c r="B28" s="7">
        <v>1</v>
      </c>
      <c r="G28" s="9" t="s">
        <v>104</v>
      </c>
    </row>
    <row r="29" spans="1:7">
      <c r="A29" s="6" t="s">
        <v>105</v>
      </c>
      <c r="B29" s="7">
        <v>0.4</v>
      </c>
      <c r="G29" s="10" t="s">
        <v>106</v>
      </c>
    </row>
    <row r="30" spans="1:7">
      <c r="A30" s="6" t="s">
        <v>107</v>
      </c>
      <c r="B30" s="7">
        <v>0.2</v>
      </c>
      <c r="G30" s="10" t="s">
        <v>108</v>
      </c>
    </row>
    <row r="31" spans="1:7">
      <c r="A31" s="6" t="s">
        <v>109</v>
      </c>
      <c r="B31" s="7">
        <v>5</v>
      </c>
      <c r="G31" s="9" t="s">
        <v>110</v>
      </c>
    </row>
    <row r="32" spans="1:7">
      <c r="A32" s="6" t="s">
        <v>111</v>
      </c>
      <c r="B32" s="7">
        <v>90</v>
      </c>
      <c r="G32" s="9" t="s">
        <v>112</v>
      </c>
    </row>
    <row r="33" spans="1:7" ht="25.5">
      <c r="A33" s="6" t="s">
        <v>113</v>
      </c>
      <c r="B33" s="7">
        <v>20</v>
      </c>
      <c r="G33" s="9" t="s">
        <v>114</v>
      </c>
    </row>
    <row r="34" spans="1:7">
      <c r="A34" s="15" t="s">
        <v>115</v>
      </c>
      <c r="B34" s="7">
        <v>0.3</v>
      </c>
      <c r="G34" s="10" t="s">
        <v>116</v>
      </c>
    </row>
    <row r="35" spans="1:7">
      <c r="A35" s="15" t="s">
        <v>117</v>
      </c>
      <c r="B35" s="7">
        <v>20</v>
      </c>
      <c r="G35" s="10" t="s">
        <v>118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zoomScaleNormal="100" workbookViewId="0"/>
  </sheetViews>
  <sheetFormatPr defaultColWidth="8.7109375" defaultRowHeight="15"/>
  <cols>
    <col min="1" max="1" width="14" customWidth="1"/>
    <col min="2" max="7" width="15" customWidth="1"/>
    <col min="8" max="8" width="34" customWidth="1"/>
    <col min="9" max="9" width="30" customWidth="1"/>
  </cols>
  <sheetData>
    <row r="1" spans="1:9" ht="24" customHeight="1">
      <c r="A1" s="1" t="s">
        <v>119</v>
      </c>
    </row>
    <row r="2" spans="1:9" ht="30" customHeight="1">
      <c r="A2" s="4" t="s">
        <v>120</v>
      </c>
    </row>
    <row r="3" spans="1:9">
      <c r="A3" s="5" t="s">
        <v>121</v>
      </c>
      <c r="B3" s="5" t="s">
        <v>122</v>
      </c>
      <c r="C3" s="5" t="s">
        <v>123</v>
      </c>
      <c r="D3" s="5" t="s">
        <v>124</v>
      </c>
      <c r="E3" s="5" t="s">
        <v>125</v>
      </c>
      <c r="F3" s="5" t="s">
        <v>126</v>
      </c>
      <c r="G3" s="5" t="s">
        <v>127</v>
      </c>
      <c r="H3" s="5" t="s">
        <v>128</v>
      </c>
    </row>
    <row r="4" spans="1:9">
      <c r="A4" s="11" t="s">
        <v>129</v>
      </c>
      <c r="B4" s="7">
        <v>15</v>
      </c>
      <c r="C4" s="7">
        <v>21</v>
      </c>
      <c r="D4" s="7">
        <v>1.5</v>
      </c>
      <c r="E4" s="7">
        <v>8</v>
      </c>
      <c r="F4" s="8" t="s">
        <v>130</v>
      </c>
      <c r="G4" s="8" t="s">
        <v>130</v>
      </c>
      <c r="H4" s="7">
        <v>1</v>
      </c>
    </row>
    <row r="5" spans="1:9">
      <c r="A5" s="11" t="s">
        <v>131</v>
      </c>
      <c r="B5" s="7">
        <v>22</v>
      </c>
      <c r="C5" s="7">
        <v>27</v>
      </c>
      <c r="D5" s="7">
        <v>1</v>
      </c>
      <c r="E5" s="7">
        <v>0</v>
      </c>
      <c r="F5" s="8" t="s">
        <v>130</v>
      </c>
      <c r="G5" s="8" t="s">
        <v>130</v>
      </c>
      <c r="H5" s="7">
        <v>1</v>
      </c>
    </row>
    <row r="6" spans="1:9">
      <c r="A6" s="11" t="s">
        <v>132</v>
      </c>
      <c r="B6" s="7">
        <v>28</v>
      </c>
      <c r="C6" s="7">
        <v>34</v>
      </c>
      <c r="D6" s="7">
        <v>0.8</v>
      </c>
      <c r="E6" s="7">
        <v>0</v>
      </c>
      <c r="F6" s="8" t="s">
        <v>133</v>
      </c>
      <c r="G6" s="8" t="s">
        <v>134</v>
      </c>
      <c r="H6" s="7">
        <v>1</v>
      </c>
    </row>
    <row r="7" spans="1:9">
      <c r="A7" s="11" t="s">
        <v>135</v>
      </c>
      <c r="B7" s="7">
        <v>35</v>
      </c>
      <c r="C7" s="7">
        <v>40</v>
      </c>
      <c r="D7" s="7">
        <v>0.6</v>
      </c>
      <c r="E7" s="7">
        <v>0</v>
      </c>
      <c r="F7" s="8" t="s">
        <v>136</v>
      </c>
      <c r="G7" s="8" t="s">
        <v>137</v>
      </c>
      <c r="H7" s="7">
        <v>2</v>
      </c>
    </row>
    <row r="9" spans="1:9">
      <c r="A9" s="16" t="s">
        <v>138</v>
      </c>
    </row>
    <row r="10" spans="1:9">
      <c r="A10" s="16" t="s">
        <v>139</v>
      </c>
    </row>
    <row r="12" spans="1:9">
      <c r="A12" s="12" t="s">
        <v>140</v>
      </c>
    </row>
    <row r="13" spans="1:9">
      <c r="A13" s="5" t="s">
        <v>141</v>
      </c>
      <c r="B13" s="5" t="s">
        <v>142</v>
      </c>
      <c r="C13" s="5"/>
      <c r="D13" s="5"/>
      <c r="E13" s="5"/>
      <c r="F13" s="5"/>
      <c r="G13" s="5"/>
      <c r="H13" s="5"/>
      <c r="I13" s="5"/>
    </row>
    <row r="14" spans="1:9">
      <c r="A14" s="11">
        <v>35</v>
      </c>
      <c r="B14" s="7">
        <v>10</v>
      </c>
    </row>
    <row r="15" spans="1:9">
      <c r="A15" s="11">
        <v>36</v>
      </c>
      <c r="B15" s="7">
        <v>15</v>
      </c>
    </row>
    <row r="16" spans="1:9">
      <c r="A16" s="11">
        <v>37</v>
      </c>
      <c r="B16" s="7">
        <v>20</v>
      </c>
    </row>
    <row r="17" spans="1:2">
      <c r="A17" s="11">
        <v>38</v>
      </c>
      <c r="B17" s="7">
        <v>28</v>
      </c>
    </row>
    <row r="18" spans="1:2">
      <c r="A18" s="11">
        <v>39</v>
      </c>
      <c r="B18" s="7">
        <v>34</v>
      </c>
    </row>
    <row r="19" spans="1:2">
      <c r="A19" s="11">
        <v>40</v>
      </c>
      <c r="B19" s="7">
        <v>40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zoomScaleNormal="100" workbookViewId="0"/>
  </sheetViews>
  <sheetFormatPr defaultColWidth="8.7109375" defaultRowHeight="15"/>
  <cols>
    <col min="1" max="1" width="30" customWidth="1"/>
    <col min="2" max="2" width="12" customWidth="1"/>
    <col min="3" max="3" width="50" customWidth="1"/>
  </cols>
  <sheetData>
    <row r="1" spans="1:3" ht="24" customHeight="1">
      <c r="A1" s="1" t="s">
        <v>143</v>
      </c>
    </row>
    <row r="2" spans="1:3" ht="30" customHeight="1">
      <c r="A2" s="4" t="s">
        <v>144</v>
      </c>
    </row>
    <row r="3" spans="1:3">
      <c r="A3" s="5" t="s">
        <v>145</v>
      </c>
      <c r="B3" s="5" t="s">
        <v>146</v>
      </c>
      <c r="C3" s="5" t="s">
        <v>63</v>
      </c>
    </row>
    <row r="4" spans="1:3">
      <c r="A4" s="6" t="s">
        <v>147</v>
      </c>
      <c r="B4" s="7">
        <v>-5</v>
      </c>
      <c r="C4" s="10" t="s">
        <v>148</v>
      </c>
    </row>
    <row r="5" spans="1:3">
      <c r="A5" s="6" t="s">
        <v>149</v>
      </c>
      <c r="B5" s="7">
        <v>-8</v>
      </c>
      <c r="C5" s="10" t="s">
        <v>150</v>
      </c>
    </row>
    <row r="6" spans="1:3" ht="25.5">
      <c r="A6" s="6" t="s">
        <v>151</v>
      </c>
      <c r="B6" s="7">
        <v>-10</v>
      </c>
      <c r="C6" s="10" t="s">
        <v>152</v>
      </c>
    </row>
    <row r="7" spans="1:3">
      <c r="A7" s="15" t="s">
        <v>153</v>
      </c>
      <c r="B7" s="7">
        <v>10</v>
      </c>
      <c r="C7" s="10" t="s">
        <v>154</v>
      </c>
    </row>
    <row r="8" spans="1:3">
      <c r="A8" s="6" t="s">
        <v>155</v>
      </c>
      <c r="B8" s="7">
        <v>-30</v>
      </c>
      <c r="C8" s="10" t="s">
        <v>156</v>
      </c>
    </row>
    <row r="10" spans="1:3">
      <c r="A10" s="5" t="s">
        <v>157</v>
      </c>
      <c r="B10" s="5" t="s">
        <v>16</v>
      </c>
      <c r="C10" s="5" t="s">
        <v>63</v>
      </c>
    </row>
    <row r="11" spans="1:3">
      <c r="A11" s="6" t="s">
        <v>158</v>
      </c>
      <c r="B11" s="7">
        <v>50</v>
      </c>
      <c r="C11" s="10" t="s">
        <v>159</v>
      </c>
    </row>
    <row r="12" spans="1:3">
      <c r="A12" s="6" t="s">
        <v>160</v>
      </c>
      <c r="B12" s="7">
        <v>20</v>
      </c>
      <c r="C12" s="10" t="s">
        <v>161</v>
      </c>
    </row>
    <row r="13" spans="1:3">
      <c r="A13" s="6" t="s">
        <v>162</v>
      </c>
      <c r="B13" s="7">
        <v>2</v>
      </c>
      <c r="C13" s="10" t="s">
        <v>163</v>
      </c>
    </row>
    <row r="14" spans="1:3">
      <c r="A14" s="6" t="s">
        <v>164</v>
      </c>
      <c r="B14" s="7">
        <v>30</v>
      </c>
      <c r="C14" s="10" t="s">
        <v>165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zoomScaleNormal="100" workbookViewId="0"/>
  </sheetViews>
  <sheetFormatPr defaultColWidth="8.7109375" defaultRowHeight="15"/>
  <cols>
    <col min="1" max="1" width="22" customWidth="1"/>
    <col min="2" max="7" width="16" customWidth="1"/>
  </cols>
  <sheetData>
    <row r="1" spans="1:6" ht="24" customHeight="1">
      <c r="A1" s="1" t="s">
        <v>166</v>
      </c>
    </row>
    <row r="2" spans="1:6" ht="30" customHeight="1">
      <c r="A2" s="4" t="s">
        <v>167</v>
      </c>
    </row>
    <row r="3" spans="1:6">
      <c r="A3" s="12" t="s">
        <v>168</v>
      </c>
    </row>
    <row r="4" spans="1:6">
      <c r="A4" s="13" t="s">
        <v>169</v>
      </c>
      <c r="B4" s="5" t="s">
        <v>170</v>
      </c>
      <c r="C4" s="5" t="s">
        <v>171</v>
      </c>
      <c r="D4" s="5" t="s">
        <v>172</v>
      </c>
      <c r="E4" s="5"/>
      <c r="F4" s="5"/>
    </row>
    <row r="5" spans="1:6">
      <c r="A5" s="11">
        <v>1</v>
      </c>
      <c r="B5" s="7">
        <v>8</v>
      </c>
      <c r="C5" s="7">
        <v>1</v>
      </c>
      <c r="D5" s="17" t="s">
        <v>173</v>
      </c>
    </row>
    <row r="6" spans="1:6">
      <c r="A6" s="11">
        <v>2</v>
      </c>
      <c r="B6" s="7">
        <v>10</v>
      </c>
      <c r="C6" s="7">
        <v>1.25</v>
      </c>
      <c r="D6" s="7">
        <v>800</v>
      </c>
    </row>
    <row r="7" spans="1:6">
      <c r="A7" s="11">
        <v>3</v>
      </c>
      <c r="B7" s="7">
        <v>12</v>
      </c>
      <c r="C7" s="7">
        <v>1.5</v>
      </c>
      <c r="D7" s="7">
        <v>1600</v>
      </c>
    </row>
    <row r="8" spans="1:6">
      <c r="A8" s="11">
        <v>4</v>
      </c>
      <c r="B8" s="7">
        <v>14</v>
      </c>
      <c r="C8" s="7">
        <v>1.75</v>
      </c>
      <c r="D8" s="7">
        <v>2800</v>
      </c>
    </row>
    <row r="9" spans="1:6">
      <c r="A9" s="11">
        <v>5</v>
      </c>
      <c r="B9" s="7">
        <v>16</v>
      </c>
      <c r="C9" s="7">
        <v>2</v>
      </c>
      <c r="D9" s="7">
        <v>4500</v>
      </c>
    </row>
    <row r="11" spans="1:6">
      <c r="A11" s="12" t="s">
        <v>174</v>
      </c>
    </row>
    <row r="12" spans="1:6">
      <c r="A12" s="13" t="s">
        <v>169</v>
      </c>
      <c r="B12" s="5" t="s">
        <v>175</v>
      </c>
      <c r="C12" s="5" t="s">
        <v>176</v>
      </c>
      <c r="D12" s="5" t="s">
        <v>172</v>
      </c>
      <c r="E12" s="5"/>
      <c r="F12" s="5"/>
    </row>
    <row r="13" spans="1:6">
      <c r="A13" s="11">
        <v>1</v>
      </c>
      <c r="B13" s="7">
        <v>1</v>
      </c>
      <c r="C13" s="7">
        <v>0</v>
      </c>
      <c r="D13" s="17" t="s">
        <v>173</v>
      </c>
    </row>
    <row r="14" spans="1:6">
      <c r="A14" s="11">
        <v>2</v>
      </c>
      <c r="B14" s="7">
        <v>1.2</v>
      </c>
      <c r="C14" s="7">
        <v>0</v>
      </c>
      <c r="D14" s="7">
        <v>700</v>
      </c>
    </row>
    <row r="15" spans="1:6">
      <c r="A15" s="11">
        <v>3</v>
      </c>
      <c r="B15" s="7">
        <v>1.4</v>
      </c>
      <c r="C15" s="7">
        <v>1</v>
      </c>
      <c r="D15" s="7">
        <v>1400</v>
      </c>
    </row>
    <row r="16" spans="1:6">
      <c r="A16" s="11">
        <v>4</v>
      </c>
      <c r="B16" s="7">
        <v>1.7</v>
      </c>
      <c r="C16" s="7">
        <v>1</v>
      </c>
      <c r="D16" s="7">
        <v>2500</v>
      </c>
    </row>
    <row r="17" spans="1:6">
      <c r="A17" s="11">
        <v>5</v>
      </c>
      <c r="B17" s="7">
        <v>2</v>
      </c>
      <c r="C17" s="7">
        <v>2</v>
      </c>
      <c r="D17" s="7">
        <v>4000</v>
      </c>
    </row>
    <row r="19" spans="1:6">
      <c r="A19" s="12" t="s">
        <v>177</v>
      </c>
    </row>
    <row r="20" spans="1:6">
      <c r="A20" s="13" t="s">
        <v>169</v>
      </c>
      <c r="B20" s="5" t="s">
        <v>178</v>
      </c>
      <c r="C20" s="5" t="s">
        <v>179</v>
      </c>
      <c r="D20" s="5" t="s">
        <v>172</v>
      </c>
      <c r="E20" s="5"/>
      <c r="F20" s="5"/>
    </row>
    <row r="21" spans="1:6">
      <c r="A21" s="11">
        <v>1</v>
      </c>
      <c r="B21" s="7">
        <v>20</v>
      </c>
      <c r="C21" s="7">
        <v>0</v>
      </c>
      <c r="D21" s="17" t="s">
        <v>173</v>
      </c>
    </row>
    <row r="22" spans="1:6">
      <c r="A22" s="11">
        <v>2</v>
      </c>
      <c r="B22" s="7">
        <v>14</v>
      </c>
      <c r="C22" s="7">
        <v>-8</v>
      </c>
      <c r="D22" s="7">
        <v>600</v>
      </c>
    </row>
    <row r="23" spans="1:6">
      <c r="A23" s="11">
        <v>3</v>
      </c>
      <c r="B23" s="7">
        <v>10</v>
      </c>
      <c r="C23" s="7">
        <v>-15</v>
      </c>
      <c r="D23" s="7">
        <v>1300</v>
      </c>
    </row>
    <row r="24" spans="1:6">
      <c r="A24" s="11">
        <v>4</v>
      </c>
      <c r="B24" s="7">
        <v>6</v>
      </c>
      <c r="C24" s="7">
        <v>-22</v>
      </c>
      <c r="D24" s="7">
        <v>2400</v>
      </c>
    </row>
    <row r="25" spans="1:6">
      <c r="A25" s="11">
        <v>5</v>
      </c>
      <c r="B25" s="7">
        <v>3</v>
      </c>
      <c r="C25" s="7">
        <v>-30</v>
      </c>
      <c r="D25" s="7">
        <v>3800</v>
      </c>
    </row>
    <row r="27" spans="1:6">
      <c r="A27" s="12" t="s">
        <v>180</v>
      </c>
    </row>
    <row r="28" spans="1:6">
      <c r="A28" s="13" t="s">
        <v>169</v>
      </c>
      <c r="B28" s="5" t="s">
        <v>181</v>
      </c>
      <c r="C28" s="5" t="s">
        <v>182</v>
      </c>
      <c r="D28" s="5" t="s">
        <v>172</v>
      </c>
      <c r="E28" s="5"/>
      <c r="F28" s="5"/>
    </row>
    <row r="29" spans="1:6">
      <c r="A29" s="11">
        <v>1</v>
      </c>
      <c r="B29" s="7">
        <v>0</v>
      </c>
      <c r="C29" s="7">
        <v>1</v>
      </c>
      <c r="D29" s="17" t="s">
        <v>173</v>
      </c>
    </row>
    <row r="30" spans="1:6">
      <c r="A30" s="11">
        <v>2</v>
      </c>
      <c r="B30" s="7">
        <v>1</v>
      </c>
      <c r="C30" s="7">
        <v>1.07</v>
      </c>
      <c r="D30" s="7">
        <v>500</v>
      </c>
    </row>
    <row r="31" spans="1:6">
      <c r="A31" s="11">
        <v>3</v>
      </c>
      <c r="B31" s="7">
        <v>3</v>
      </c>
      <c r="C31" s="7">
        <v>1.1499999999999999</v>
      </c>
      <c r="D31" s="7">
        <v>1100</v>
      </c>
    </row>
    <row r="32" spans="1:6">
      <c r="A32" s="11">
        <v>4</v>
      </c>
      <c r="B32" s="7">
        <v>5</v>
      </c>
      <c r="C32" s="7">
        <v>1.22</v>
      </c>
      <c r="D32" s="7">
        <v>2000</v>
      </c>
    </row>
    <row r="33" spans="1:4">
      <c r="A33" s="11">
        <v>5</v>
      </c>
      <c r="B33" s="7">
        <v>8</v>
      </c>
      <c r="C33" s="7">
        <v>1.3</v>
      </c>
      <c r="D33" s="7">
        <v>3200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"/>
  <sheetViews>
    <sheetView zoomScaleNormal="100" workbookViewId="0"/>
  </sheetViews>
  <sheetFormatPr defaultColWidth="8.7109375" defaultRowHeight="15"/>
  <cols>
    <col min="1" max="1" width="10" customWidth="1"/>
    <col min="2" max="5" width="18" customWidth="1"/>
    <col min="6" max="6" width="34" customWidth="1"/>
  </cols>
  <sheetData>
    <row r="1" spans="1:6" ht="24" customHeight="1">
      <c r="A1" s="1" t="s">
        <v>183</v>
      </c>
    </row>
    <row r="2" spans="1:6" ht="30" customHeight="1">
      <c r="A2" s="4" t="s">
        <v>184</v>
      </c>
    </row>
    <row r="3" spans="1:6">
      <c r="A3" s="5" t="s">
        <v>47</v>
      </c>
      <c r="B3" s="5" t="s">
        <v>185</v>
      </c>
      <c r="C3" s="5" t="s">
        <v>186</v>
      </c>
      <c r="D3" s="5" t="s">
        <v>187</v>
      </c>
      <c r="E3" s="5"/>
      <c r="F3" s="5" t="s">
        <v>18</v>
      </c>
    </row>
    <row r="4" spans="1:6">
      <c r="A4" s="8" t="s">
        <v>20</v>
      </c>
      <c r="B4" s="7">
        <v>0</v>
      </c>
      <c r="C4" s="7">
        <v>0.6</v>
      </c>
      <c r="D4" s="8" t="s">
        <v>38</v>
      </c>
      <c r="F4" s="10" t="s">
        <v>188</v>
      </c>
    </row>
    <row r="5" spans="1:6">
      <c r="A5" s="8" t="s">
        <v>189</v>
      </c>
      <c r="B5" s="7">
        <v>100</v>
      </c>
      <c r="C5" s="7">
        <v>0.8</v>
      </c>
      <c r="D5" s="8" t="s">
        <v>38</v>
      </c>
      <c r="F5" s="10"/>
    </row>
    <row r="6" spans="1:6">
      <c r="A6" s="8" t="s">
        <v>38</v>
      </c>
      <c r="B6" s="7">
        <v>250</v>
      </c>
      <c r="C6" s="7">
        <v>1</v>
      </c>
      <c r="D6" s="8" t="s">
        <v>40</v>
      </c>
      <c r="F6" s="10"/>
    </row>
    <row r="7" spans="1:6">
      <c r="A7" s="8" t="s">
        <v>40</v>
      </c>
      <c r="B7" s="7">
        <v>500</v>
      </c>
      <c r="C7" s="7">
        <v>1.2</v>
      </c>
      <c r="D7" s="8" t="s">
        <v>41</v>
      </c>
      <c r="F7" s="10"/>
    </row>
    <row r="8" spans="1:6">
      <c r="A8" s="8" t="s">
        <v>41</v>
      </c>
      <c r="B8" s="7">
        <v>900</v>
      </c>
      <c r="C8" s="7">
        <v>1.5</v>
      </c>
      <c r="D8" s="8" t="s">
        <v>42</v>
      </c>
      <c r="F8" s="10"/>
    </row>
    <row r="9" spans="1:6">
      <c r="A9" s="8" t="s">
        <v>42</v>
      </c>
      <c r="B9" s="7">
        <v>1500</v>
      </c>
      <c r="C9" s="7">
        <v>1.8</v>
      </c>
      <c r="D9" s="8" t="s">
        <v>43</v>
      </c>
      <c r="F9" s="10"/>
    </row>
    <row r="10" spans="1:6">
      <c r="A10" s="8" t="s">
        <v>43</v>
      </c>
      <c r="B10" s="7">
        <v>2400</v>
      </c>
      <c r="C10" s="7">
        <v>2.2000000000000002</v>
      </c>
      <c r="D10" s="8" t="s">
        <v>44</v>
      </c>
      <c r="F10" s="10"/>
    </row>
    <row r="11" spans="1:6">
      <c r="A11" s="8" t="s">
        <v>44</v>
      </c>
      <c r="B11" s="7">
        <v>3600</v>
      </c>
      <c r="C11" s="7">
        <v>3</v>
      </c>
      <c r="D11" s="8" t="s">
        <v>44</v>
      </c>
      <c r="F11" s="10" t="s">
        <v>190</v>
      </c>
    </row>
    <row r="13" spans="1:6">
      <c r="A13" s="12" t="s">
        <v>191</v>
      </c>
    </row>
    <row r="14" spans="1:6">
      <c r="A14" s="5" t="s">
        <v>192</v>
      </c>
      <c r="B14" s="5" t="s">
        <v>193</v>
      </c>
      <c r="C14" s="5"/>
      <c r="D14" s="5"/>
      <c r="E14" s="5"/>
      <c r="F14" s="5"/>
    </row>
    <row r="15" spans="1:6">
      <c r="A15" s="15" t="s">
        <v>194</v>
      </c>
      <c r="B15" s="7">
        <v>10</v>
      </c>
    </row>
    <row r="16" spans="1:6">
      <c r="A16" s="15" t="s">
        <v>195</v>
      </c>
      <c r="B16" s="7">
        <v>20</v>
      </c>
    </row>
    <row r="17" spans="1:2">
      <c r="A17" s="15" t="s">
        <v>196</v>
      </c>
      <c r="B17" s="7">
        <v>35</v>
      </c>
    </row>
    <row r="18" spans="1:2">
      <c r="A18" s="15" t="s">
        <v>197</v>
      </c>
      <c r="B18" s="7">
        <v>60</v>
      </c>
    </row>
    <row r="19" spans="1:2">
      <c r="A19" s="15" t="s">
        <v>198</v>
      </c>
      <c r="B19" s="7">
        <v>100</v>
      </c>
    </row>
    <row r="20" spans="1:2">
      <c r="A20" s="15" t="s">
        <v>199</v>
      </c>
      <c r="B20" s="7">
        <v>160</v>
      </c>
    </row>
    <row r="21" spans="1:2" ht="25.5">
      <c r="A21" s="6" t="s">
        <v>200</v>
      </c>
      <c r="B21" s="7">
        <v>-15</v>
      </c>
    </row>
    <row r="22" spans="1:2" ht="38.25">
      <c r="A22" s="6" t="s">
        <v>201</v>
      </c>
      <c r="B22" s="7">
        <v>-40</v>
      </c>
    </row>
    <row r="23" spans="1:2" ht="25.5">
      <c r="A23" s="6" t="s">
        <v>202</v>
      </c>
      <c r="B23" s="7">
        <v>-10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Normal="100" workbookViewId="0"/>
  </sheetViews>
  <sheetFormatPr defaultColWidth="8.7109375" defaultRowHeight="15"/>
  <cols>
    <col min="1" max="1" width="30" customWidth="1"/>
    <col min="2" max="2" width="14" customWidth="1"/>
    <col min="3" max="3" width="50" customWidth="1"/>
  </cols>
  <sheetData>
    <row r="1" spans="1:3" ht="24" customHeight="1">
      <c r="A1" s="1" t="s">
        <v>203</v>
      </c>
    </row>
    <row r="2" spans="1:3" ht="30" customHeight="1">
      <c r="A2" s="4" t="s">
        <v>204</v>
      </c>
    </row>
    <row r="3" spans="1:3">
      <c r="A3" s="12" t="s">
        <v>205</v>
      </c>
    </row>
    <row r="4" spans="1:3">
      <c r="A4" s="5" t="s">
        <v>15</v>
      </c>
      <c r="B4" s="5" t="s">
        <v>16</v>
      </c>
      <c r="C4" s="5" t="s">
        <v>63</v>
      </c>
    </row>
    <row r="5" spans="1:3">
      <c r="A5" s="6" t="s">
        <v>206</v>
      </c>
      <c r="B5" s="7">
        <v>100</v>
      </c>
      <c r="C5" s="10" t="s">
        <v>207</v>
      </c>
    </row>
    <row r="6" spans="1:3">
      <c r="A6" s="6" t="s">
        <v>208</v>
      </c>
      <c r="B6" s="7">
        <v>15</v>
      </c>
      <c r="C6" s="10" t="s">
        <v>209</v>
      </c>
    </row>
    <row r="7" spans="1:3">
      <c r="A7" s="6" t="s">
        <v>210</v>
      </c>
      <c r="B7" s="7">
        <v>8</v>
      </c>
      <c r="C7" s="10" t="s">
        <v>211</v>
      </c>
    </row>
    <row r="8" spans="1:3">
      <c r="A8" s="6" t="s">
        <v>212</v>
      </c>
      <c r="B8" s="7">
        <v>12</v>
      </c>
      <c r="C8" s="10"/>
    </row>
    <row r="9" spans="1:3">
      <c r="A9" s="6" t="s">
        <v>213</v>
      </c>
      <c r="B9" s="7">
        <v>18</v>
      </c>
      <c r="C9" s="10"/>
    </row>
    <row r="10" spans="1:3">
      <c r="A10" s="6" t="s">
        <v>214</v>
      </c>
      <c r="B10" s="7">
        <v>25</v>
      </c>
      <c r="C10" s="10"/>
    </row>
    <row r="11" spans="1:3">
      <c r="A11" s="6" t="s">
        <v>215</v>
      </c>
      <c r="B11" s="7">
        <v>32</v>
      </c>
      <c r="C11" s="10"/>
    </row>
    <row r="12" spans="1:3">
      <c r="A12" s="6" t="s">
        <v>216</v>
      </c>
      <c r="B12" s="7">
        <v>40</v>
      </c>
      <c r="C12" s="10"/>
    </row>
    <row r="14" spans="1:3">
      <c r="A14" s="12" t="s">
        <v>217</v>
      </c>
    </row>
    <row r="15" spans="1:3">
      <c r="A15" s="5" t="s">
        <v>15</v>
      </c>
      <c r="B15" s="5" t="s">
        <v>16</v>
      </c>
      <c r="C15" s="5" t="s">
        <v>63</v>
      </c>
    </row>
    <row r="16" spans="1:3">
      <c r="A16" s="6" t="s">
        <v>218</v>
      </c>
      <c r="B16" s="7">
        <v>20</v>
      </c>
      <c r="C16" s="10" t="s">
        <v>219</v>
      </c>
    </row>
    <row r="17" spans="1:3">
      <c r="A17" s="6" t="s">
        <v>220</v>
      </c>
      <c r="B17" s="7">
        <v>-40</v>
      </c>
      <c r="C17" s="10" t="s">
        <v>221</v>
      </c>
    </row>
    <row r="18" spans="1:3">
      <c r="A18" s="6" t="s">
        <v>222</v>
      </c>
      <c r="B18" s="7">
        <v>40</v>
      </c>
      <c r="C18" s="10" t="s">
        <v>223</v>
      </c>
    </row>
    <row r="19" spans="1:3">
      <c r="A19" s="6" t="s">
        <v>224</v>
      </c>
      <c r="B19" s="7">
        <v>2</v>
      </c>
      <c r="C19" s="10" t="s">
        <v>225</v>
      </c>
    </row>
    <row r="20" spans="1:3">
      <c r="A20" s="6" t="s">
        <v>226</v>
      </c>
      <c r="B20" s="7">
        <v>-3</v>
      </c>
      <c r="C20" s="10" t="s">
        <v>227</v>
      </c>
    </row>
    <row r="21" spans="1:3">
      <c r="A21" s="6" t="s">
        <v>228</v>
      </c>
      <c r="B21" s="7">
        <v>-5</v>
      </c>
      <c r="C21" s="10" t="s">
        <v>229</v>
      </c>
    </row>
    <row r="23" spans="1:3">
      <c r="A23" s="12" t="s">
        <v>230</v>
      </c>
    </row>
    <row r="24" spans="1:3">
      <c r="A24" s="5" t="s">
        <v>15</v>
      </c>
      <c r="B24" s="5" t="s">
        <v>16</v>
      </c>
      <c r="C24" s="5" t="s">
        <v>63</v>
      </c>
    </row>
    <row r="25" spans="1:3">
      <c r="A25" s="6" t="s">
        <v>231</v>
      </c>
      <c r="B25" s="7">
        <v>60</v>
      </c>
      <c r="C25" s="10" t="s">
        <v>232</v>
      </c>
    </row>
    <row r="26" spans="1:3">
      <c r="A26" s="6" t="s">
        <v>233</v>
      </c>
      <c r="B26" s="7">
        <v>0.5</v>
      </c>
      <c r="C26" s="10" t="s">
        <v>234</v>
      </c>
    </row>
    <row r="27" spans="1:3">
      <c r="A27" s="6" t="s">
        <v>235</v>
      </c>
      <c r="B27" s="7">
        <v>1</v>
      </c>
      <c r="C27" s="10" t="s">
        <v>236</v>
      </c>
    </row>
    <row r="28" spans="1:3">
      <c r="A28" s="6" t="s">
        <v>237</v>
      </c>
      <c r="B28" s="7">
        <v>25</v>
      </c>
      <c r="C28" s="10" t="s">
        <v>238</v>
      </c>
    </row>
    <row r="29" spans="1:3">
      <c r="A29" s="6" t="s">
        <v>239</v>
      </c>
      <c r="B29" s="7">
        <v>15</v>
      </c>
      <c r="C29" s="10" t="s">
        <v>240</v>
      </c>
    </row>
  </sheetData>
  <phoneticPr fontId="13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はじめに</vt:lpstr>
      <vt:lpstr>経済</vt:lpstr>
      <vt:lpstr>クエスト</vt:lpstr>
      <vt:lpstr>戦闘</vt:lpstr>
      <vt:lpstr>加齢</vt:lpstr>
      <vt:lpstr>満足度</vt:lpstr>
      <vt:lpstr>施設</vt:lpstr>
      <vt:lpstr>格付け</vt:lpstr>
      <vt:lpstr>疲労_相性_顧問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冷水　崇宏</cp:lastModifiedBy>
  <cp:revision>0</cp:revision>
  <dcterms:created xsi:type="dcterms:W3CDTF">2026-09-10T08:25:18Z</dcterms:created>
  <dcterms:modified xsi:type="dcterms:W3CDTF">2026-09-11T00:54:27Z</dcterms:modified>
  <dc:language>en-US</dc:language>
</cp:coreProperties>
</file>